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36bb45215012928/Master Thesis Share/"/>
    </mc:Choice>
  </mc:AlternateContent>
  <xr:revisionPtr revIDLastSave="52" documentId="13_ncr:1_{C9770312-1A19-4412-9E18-6CF12AF382D2}" xr6:coauthVersionLast="47" xr6:coauthVersionMax="47" xr10:uidLastSave="{47885891-3944-42E6-80FD-409CAB7AE8C7}"/>
  <bookViews>
    <workbookView xWindow="-23148" yWindow="-108" windowWidth="23256" windowHeight="13896" xr2:uid="{00000000-000D-0000-FFFF-FFFF00000000}"/>
  </bookViews>
  <sheets>
    <sheet name="Combined info" sheetId="6" r:id="rId1"/>
    <sheet name="CheckM MAGs" sheetId="2" r:id="rId2"/>
    <sheet name="Phylogeny MAGs" sheetId="3" r:id="rId3"/>
    <sheet name="CheckM genomes" sheetId="4" r:id="rId4"/>
    <sheet name="Phylogeny genomes" sheetId="5" r:id="rId5"/>
    <sheet name="Mapping" sheetId="8" r:id="rId6"/>
    <sheet name="Relative abundances MGX" sheetId="9" r:id="rId7"/>
    <sheet name="Quast MEGAHIT" sheetId="12" r:id="rId8"/>
    <sheet name="Quast metaSPAdes" sheetId="13" r:id="rId9"/>
  </sheets>
  <definedNames>
    <definedName name="_xlnm._FilterDatabase" localSheetId="3" hidden="1">'CheckM genomes'!$B$1:$K$1</definedName>
    <definedName name="_xlnm._FilterDatabase" localSheetId="1" hidden="1">'CheckM MAGs'!$A$1:$K$1</definedName>
    <definedName name="_xlnm._FilterDatabase" localSheetId="0" hidden="1">'Combined info'!$A$1:$M$1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6" l="1"/>
  <c r="L11" i="6"/>
  <c r="K11" i="6"/>
  <c r="J11" i="6"/>
  <c r="M10" i="6"/>
  <c r="L10" i="6"/>
  <c r="K10" i="6"/>
  <c r="J10" i="6"/>
  <c r="M4" i="6"/>
  <c r="L4" i="6"/>
  <c r="K4" i="6"/>
  <c r="J4" i="6"/>
  <c r="K2" i="6"/>
  <c r="J2" i="6"/>
  <c r="M18" i="6"/>
  <c r="L18" i="6"/>
  <c r="K18" i="6"/>
  <c r="J18" i="6"/>
  <c r="M17" i="6"/>
  <c r="L17" i="6"/>
  <c r="K17" i="6"/>
  <c r="J17" i="6"/>
  <c r="M16" i="6"/>
  <c r="L16" i="6"/>
  <c r="K16" i="6"/>
  <c r="J16" i="6"/>
  <c r="M15" i="6"/>
  <c r="L15" i="6"/>
  <c r="K15" i="6"/>
  <c r="J15" i="6"/>
  <c r="M14" i="6"/>
  <c r="L14" i="6"/>
  <c r="K14" i="6"/>
  <c r="J14" i="6"/>
  <c r="M13" i="6"/>
  <c r="L13" i="6"/>
  <c r="K13" i="6"/>
  <c r="J13" i="6"/>
  <c r="M12" i="6"/>
  <c r="L12" i="6"/>
  <c r="K12" i="6"/>
  <c r="J12" i="6"/>
  <c r="M9" i="6"/>
  <c r="L9" i="6"/>
  <c r="K9" i="6"/>
  <c r="J9" i="6"/>
  <c r="M8" i="6"/>
  <c r="L8" i="6"/>
  <c r="K8" i="6"/>
  <c r="J8" i="6"/>
  <c r="M7" i="6"/>
  <c r="L7" i="6"/>
  <c r="K7" i="6"/>
  <c r="J7" i="6"/>
  <c r="M6" i="6"/>
  <c r="L6" i="6"/>
  <c r="K6" i="6"/>
  <c r="J6" i="6"/>
  <c r="M5" i="6"/>
  <c r="L5" i="6"/>
  <c r="K5" i="6"/>
  <c r="J5" i="6"/>
  <c r="M3" i="6"/>
  <c r="L3" i="6"/>
  <c r="K3" i="6"/>
  <c r="J3" i="6"/>
  <c r="M2" i="6"/>
  <c r="L2" i="6"/>
  <c r="G14" i="6"/>
  <c r="H14" i="6"/>
  <c r="I14" i="6"/>
  <c r="G15" i="6"/>
  <c r="H15" i="6"/>
  <c r="I15" i="6"/>
  <c r="G2" i="6"/>
  <c r="H2" i="6"/>
  <c r="I2" i="6"/>
  <c r="G5" i="6"/>
  <c r="H5" i="6"/>
  <c r="I5" i="6"/>
  <c r="G18" i="6"/>
  <c r="H18" i="6"/>
  <c r="I18" i="6"/>
  <c r="G16" i="6"/>
  <c r="H16" i="6"/>
  <c r="I16" i="6"/>
  <c r="G7" i="6"/>
  <c r="H7" i="6"/>
  <c r="I7" i="6"/>
  <c r="G12" i="6"/>
  <c r="H12" i="6"/>
  <c r="I12" i="6"/>
  <c r="G17" i="6"/>
  <c r="H17" i="6"/>
  <c r="I17" i="6"/>
  <c r="G6" i="6"/>
  <c r="H6" i="6"/>
  <c r="I6" i="6"/>
  <c r="G8" i="6"/>
  <c r="H8" i="6"/>
  <c r="I8" i="6"/>
  <c r="G3" i="6"/>
  <c r="H3" i="6"/>
  <c r="I3" i="6"/>
  <c r="G13" i="6"/>
  <c r="H13" i="6"/>
  <c r="I13" i="6"/>
  <c r="G9" i="6"/>
  <c r="H9" i="6"/>
  <c r="I9" i="6"/>
  <c r="G10" i="6"/>
  <c r="H10" i="6"/>
  <c r="I10" i="6"/>
  <c r="G11" i="6"/>
  <c r="H11" i="6"/>
  <c r="I11" i="6"/>
  <c r="G4" i="6"/>
  <c r="H4" i="6"/>
  <c r="I4" i="6"/>
  <c r="F15" i="6"/>
  <c r="F2" i="6"/>
  <c r="F5" i="6"/>
  <c r="F18" i="6"/>
  <c r="F16" i="6"/>
  <c r="F7" i="6"/>
  <c r="F12" i="6"/>
  <c r="F17" i="6"/>
  <c r="F6" i="6"/>
  <c r="F8" i="6"/>
  <c r="F3" i="6"/>
  <c r="F13" i="6"/>
  <c r="F9" i="6"/>
  <c r="F10" i="6"/>
  <c r="F11" i="6"/>
  <c r="F4" i="6"/>
  <c r="F14" i="6"/>
</calcChain>
</file>

<file path=xl/sharedStrings.xml><?xml version="1.0" encoding="utf-8"?>
<sst xmlns="http://schemas.openxmlformats.org/spreadsheetml/2006/main" count="473" uniqueCount="196">
  <si>
    <t>Genome/MAG</t>
  </si>
  <si>
    <t>Strain ID</t>
  </si>
  <si>
    <t>Lowest determined phylogenetic rank</t>
  </si>
  <si>
    <t>Closest
related genome</t>
  </si>
  <si>
    <t>Cyanide use</t>
  </si>
  <si>
    <t>Relative abundance (% T0)</t>
  </si>
  <si>
    <t>Relative abundance (% T1)</t>
  </si>
  <si>
    <t>Relative abundance (% T2)</t>
  </si>
  <si>
    <t>Relative abundance (% T3)</t>
  </si>
  <si>
    <t>GCA_976997615</t>
  </si>
  <si>
    <t>R-92805</t>
  </si>
  <si>
    <t>genus</t>
  </si>
  <si>
    <t>Aquipseudomonas</t>
  </si>
  <si>
    <t>++</t>
  </si>
  <si>
    <t>GCA_977008135</t>
  </si>
  <si>
    <t>R-92850</t>
  </si>
  <si>
    <t>species</t>
  </si>
  <si>
    <t>Stenotrophomonas maltophilia_AQ</t>
  </si>
  <si>
    <t>-</t>
  </si>
  <si>
    <t>bin.5</t>
  </si>
  <si>
    <t>Variovorax sp025486315</t>
  </si>
  <si>
    <t>GCA_976997695</t>
  </si>
  <si>
    <t>R-92826</t>
  </si>
  <si>
    <t>Aquipseudomonas sp900187605</t>
  </si>
  <si>
    <t>+</t>
  </si>
  <si>
    <t>GCA_977008005</t>
  </si>
  <si>
    <t>R-92830</t>
  </si>
  <si>
    <t>Aquipseudomonas fluorescens_B</t>
  </si>
  <si>
    <t>GCA_977007255</t>
  </si>
  <si>
    <t>R-92861</t>
  </si>
  <si>
    <t>Aquipseudomonas umsongensis</t>
  </si>
  <si>
    <t>GCA_977008125</t>
  </si>
  <si>
    <t>R-92871</t>
  </si>
  <si>
    <t>Aquipseudomonas veronii</t>
  </si>
  <si>
    <t>GCA_977008225</t>
  </si>
  <si>
    <t>R-92873</t>
  </si>
  <si>
    <t>Aquipseudomonas azerbaijanoccidentalis</t>
  </si>
  <si>
    <t>bin.11</t>
  </si>
  <si>
    <t>Cupriavidus necator_D</t>
  </si>
  <si>
    <t>bin.3</t>
  </si>
  <si>
    <t>Microbacterium</t>
  </si>
  <si>
    <t>GCA_977007905</t>
  </si>
  <si>
    <t>R-92868</t>
  </si>
  <si>
    <t>Aquipseudomonas gorinensis</t>
  </si>
  <si>
    <t>GCA_977008195</t>
  </si>
  <si>
    <t>R-92847</t>
  </si>
  <si>
    <t>Aquipseudomonas chlororaphis_I</t>
  </si>
  <si>
    <t>GCA_976997495</t>
  </si>
  <si>
    <t>R-92829</t>
  </si>
  <si>
    <t>Sphingobacterium faecium</t>
  </si>
  <si>
    <t>inconclusive</t>
  </si>
  <si>
    <t>GCA_976997575</t>
  </si>
  <si>
    <t>R-92818</t>
  </si>
  <si>
    <t>Variovorax boronicumulans</t>
  </si>
  <si>
    <t>GCA_977004875</t>
  </si>
  <si>
    <t>R-92807</t>
  </si>
  <si>
    <t>Sphingobacterium paramultivorum</t>
  </si>
  <si>
    <t>GCA_977007985</t>
  </si>
  <si>
    <t>R-92845</t>
  </si>
  <si>
    <t>Stenotrophomonas rhizophila</t>
  </si>
  <si>
    <t>GCA_977004795</t>
  </si>
  <si>
    <t>R-92825</t>
  </si>
  <si>
    <t>Rahnella aceris</t>
  </si>
  <si>
    <t>Bin</t>
  </si>
  <si>
    <t>Taxonomy</t>
  </si>
  <si>
    <t>Markers</t>
  </si>
  <si>
    <t>Completeness</t>
  </si>
  <si>
    <t>Contamination</t>
  </si>
  <si>
    <t>GC (%)</t>
  </si>
  <si>
    <t>Genome size (kb)</t>
  </si>
  <si>
    <t>Contigs</t>
  </si>
  <si>
    <t>N50 (kb)</t>
  </si>
  <si>
    <t>Mean contig length (kb)</t>
  </si>
  <si>
    <t>Predicted genes</t>
  </si>
  <si>
    <t>bin.9</t>
  </si>
  <si>
    <t>root</t>
  </si>
  <si>
    <t>bin.4</t>
  </si>
  <si>
    <t>bin.6</t>
  </si>
  <si>
    <t>bin.8</t>
  </si>
  <si>
    <t>bin.7</t>
  </si>
  <si>
    <t>bin.10</t>
  </si>
  <si>
    <t>k__Bacteria</t>
  </si>
  <si>
    <t>o__Actinomycetales</t>
  </si>
  <si>
    <t>bin.1</t>
  </si>
  <si>
    <t>f__Xanthomonadaceae</t>
  </si>
  <si>
    <t>o__Burkholderiales</t>
  </si>
  <si>
    <t>f__Burkholderiaceae</t>
  </si>
  <si>
    <t>bin.2</t>
  </si>
  <si>
    <t>o__Pseudomonadales</t>
  </si>
  <si>
    <t>Genome</t>
  </si>
  <si>
    <t>Rank</t>
  </si>
  <si>
    <t>Name</t>
  </si>
  <si>
    <t>Microbacterium sp001619615</t>
  </si>
  <si>
    <t>Unclassified Bacteria</t>
  </si>
  <si>
    <t>Unclassified</t>
  </si>
  <si>
    <t>Aquipseudomonas mohnii</t>
  </si>
  <si>
    <t>p__Bacteroidetes</t>
  </si>
  <si>
    <t>f__Enterobacteriaceae</t>
  </si>
  <si>
    <t>Status</t>
  </si>
  <si>
    <t>mean (%)</t>
  </si>
  <si>
    <t>std (%)</t>
  </si>
  <si>
    <t>Assigned</t>
  </si>
  <si>
    <t>Unassigned_Unmapped</t>
  </si>
  <si>
    <t>Unassigned_Singleton</t>
  </si>
  <si>
    <t>Unassigned_NoFeatures</t>
  </si>
  <si>
    <t>Unassigned_Ambiguity</t>
  </si>
  <si>
    <t>T0_1_1_relative</t>
  </si>
  <si>
    <t>CN_T1_1_1_relative</t>
  </si>
  <si>
    <t>CN_T2_1_1_relative</t>
  </si>
  <si>
    <t>CN_T3_1_1_relative</t>
  </si>
  <si>
    <t>Assembly</t>
  </si>
  <si>
    <t># contigs (&gt;= 0 bp)</t>
  </si>
  <si>
    <t># contigs (&gt;= 1000 bp)</t>
  </si>
  <si>
    <t># contigs (&gt;= 5000 bp)</t>
  </si>
  <si>
    <t># contigs (&gt;= 10000 bp)</t>
  </si>
  <si>
    <t># contigs (&gt;= 25000 bp)</t>
  </si>
  <si>
    <t># contigs (&gt;= 50000 bp)</t>
  </si>
  <si>
    <t>Total length (&gt;= 0 bp)</t>
  </si>
  <si>
    <t>Total length (&gt;= 1000 bp)</t>
  </si>
  <si>
    <t>Total length (&gt;= 5000 bp)</t>
  </si>
  <si>
    <t>Total length (&gt;= 10000 bp)</t>
  </si>
  <si>
    <t>Total length (&gt;= 25000 bp)</t>
  </si>
  <si>
    <t>Total length (&gt;= 50000 bp)</t>
  </si>
  <si>
    <t># contigs</t>
  </si>
  <si>
    <t>Largest contig</t>
  </si>
  <si>
    <t>Total length</t>
  </si>
  <si>
    <t>Reference length</t>
  </si>
  <si>
    <t>N50</t>
  </si>
  <si>
    <t>N75</t>
  </si>
  <si>
    <t>L50</t>
  </si>
  <si>
    <t>L75</t>
  </si>
  <si>
    <t># misassemblies</t>
  </si>
  <si>
    <t># misassembled contigs</t>
  </si>
  <si>
    <t>Misassembled contigs length</t>
  </si>
  <si>
    <t># local misassemblies</t>
  </si>
  <si>
    <t># scaffold gap ext. mis.</t>
  </si>
  <si>
    <t># scaffold gap loc. mis.</t>
  </si>
  <si>
    <t># unaligned mis. contigs</t>
  </si>
  <si>
    <t># unaligned contigs</t>
  </si>
  <si>
    <t>Unaligned length</t>
  </si>
  <si>
    <t>Genome fraction (%)</t>
  </si>
  <si>
    <t>Duplication ratio</t>
  </si>
  <si>
    <t># N's per 100 kbp</t>
  </si>
  <si>
    <t># mismatches per 100 kbp</t>
  </si>
  <si>
    <t># indels per 100 kbp</t>
  </si>
  <si>
    <t>Largest alignment</t>
  </si>
  <si>
    <t>Total aligned length</t>
  </si>
  <si>
    <t>NA50</t>
  </si>
  <si>
    <t>NA75</t>
  </si>
  <si>
    <t>LA50</t>
  </si>
  <si>
    <t>LA75</t>
  </si>
  <si>
    <t>55 + 1 part</t>
  </si>
  <si>
    <t>1 + 1 part</t>
  </si>
  <si>
    <t>36785</t>
  </si>
  <si>
    <t>20661</t>
  </si>
  <si>
    <t>36</t>
  </si>
  <si>
    <t>74</t>
  </si>
  <si>
    <t>385 + 22 part</t>
  </si>
  <si>
    <t>1059 + 56 part</t>
  </si>
  <si>
    <t>19 + 1 part</t>
  </si>
  <si>
    <t>20 + 45 part</t>
  </si>
  <si>
    <t>671 + 381 part</t>
  </si>
  <si>
    <t>0 + 8 part</t>
  </si>
  <si>
    <t>58892</t>
  </si>
  <si>
    <t>35059</t>
  </si>
  <si>
    <t>32</t>
  </si>
  <si>
    <t>62</t>
  </si>
  <si>
    <t>6 + 38 part</t>
  </si>
  <si>
    <t>15059</t>
  </si>
  <si>
    <t>17</t>
  </si>
  <si>
    <t>0 + 1 part</t>
  </si>
  <si>
    <t>91234</t>
  </si>
  <si>
    <t>43448</t>
  </si>
  <si>
    <t>484 + 7 part</t>
  </si>
  <si>
    <t>994 + 51 part</t>
  </si>
  <si>
    <t>0 + 0 part</t>
  </si>
  <si>
    <t>31051</t>
  </si>
  <si>
    <t>16781</t>
  </si>
  <si>
    <t>53</t>
  </si>
  <si>
    <t>118</t>
  </si>
  <si>
    <t>50 + 1 part</t>
  </si>
  <si>
    <t>7 + 9 part</t>
  </si>
  <si>
    <t>9500</t>
  </si>
  <si>
    <t>4731</t>
  </si>
  <si>
    <t>9</t>
  </si>
  <si>
    <t>23</t>
  </si>
  <si>
    <t>11 + 39 part</t>
  </si>
  <si>
    <t>2 + 0 part</t>
  </si>
  <si>
    <t>59884</t>
  </si>
  <si>
    <t>22919</t>
  </si>
  <si>
    <t>2</t>
  </si>
  <si>
    <t>4</t>
  </si>
  <si>
    <t>546 + 233 part</t>
  </si>
  <si>
    <t>16 + 1 part</t>
  </si>
  <si>
    <t>23 + 14 part</t>
  </si>
  <si>
    <t>Completeness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</si>
</sst>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2" fontId="0" fillId="0" borderId="0" xfId="0" applyNumberFormat="1"/>
    <xf numFmtId="164" fontId="0" fillId="0" borderId="0" xfId="0" applyNumberFormat="1"/>
    <xf numFmtId="0" fontId="3" fillId="0" borderId="0" xfId="0" applyFont="1"/>
    <xf numFmtId="0" fontId="3" fillId="0" borderId="0" xfId="0" quotePrefix="1" applyFon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2" fillId="0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F49F-8400-4B38-9F22-985B1E539CBB}">
  <dimension ref="A1:M18"/>
  <sheetViews>
    <sheetView tabSelected="1" zoomScaleNormal="100" workbookViewId="0">
      <selection activeCell="B22" sqref="B22"/>
    </sheetView>
  </sheetViews>
  <sheetFormatPr defaultRowHeight="15" customHeight="1" x14ac:dyDescent="0.3"/>
  <cols>
    <col min="1" max="2" width="20.6640625" customWidth="1"/>
    <col min="3" max="3" width="12.33203125" customWidth="1"/>
    <col min="4" max="4" width="37.109375" customWidth="1"/>
    <col min="5" max="8" width="12" customWidth="1"/>
    <col min="9" max="9" width="10.6640625" customWidth="1"/>
    <col min="10" max="10" width="14.21875" customWidth="1"/>
  </cols>
  <sheetData>
    <row r="1" spans="1:13" ht="5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0" t="s">
        <v>195</v>
      </c>
      <c r="K1" s="3" t="s">
        <v>69</v>
      </c>
      <c r="L1" s="3" t="s">
        <v>71</v>
      </c>
      <c r="M1" s="3" t="s">
        <v>73</v>
      </c>
    </row>
    <row r="2" spans="1:13" ht="14.4" x14ac:dyDescent="0.3">
      <c r="A2" t="s">
        <v>9</v>
      </c>
      <c r="B2" s="6" t="s">
        <v>10</v>
      </c>
      <c r="C2" t="s">
        <v>11</v>
      </c>
      <c r="D2" t="s">
        <v>12</v>
      </c>
      <c r="E2" s="7" t="s">
        <v>13</v>
      </c>
      <c r="F2" s="5">
        <f>_xlfn.XLOOKUP($A2,'Relative abundances MGX'!$A$2:$A$100,'Relative abundances MGX'!B$2:B$100)</f>
        <v>97.379876387937315</v>
      </c>
      <c r="G2" s="5">
        <f>_xlfn.XLOOKUP($A2,'Relative abundances MGX'!$A$2:$A$100,'Relative abundances MGX'!C$2:C$100)</f>
        <v>98.092866393362442</v>
      </c>
      <c r="H2" s="5">
        <f>_xlfn.XLOOKUP($A2,'Relative abundances MGX'!$A$2:$A$100,'Relative abundances MGX'!D$2:D$100)</f>
        <v>98.545753793440028</v>
      </c>
      <c r="I2" s="5">
        <f>_xlfn.XLOOKUP($A2,'Relative abundances MGX'!$A$2:$A$100,'Relative abundances MGX'!E$2:E$100)</f>
        <v>97.34495063087283</v>
      </c>
      <c r="J2">
        <f>_xlfn.XLOOKUP($A2,'CheckM genomes'!$A$2:$A$15,'CheckM genomes'!D$2:D$15)</f>
        <v>100</v>
      </c>
      <c r="K2">
        <f>_xlfn.XLOOKUP($A2,'CheckM genomes'!$A$2:$A$15,'CheckM genomes'!G$2:G$15)</f>
        <v>8073</v>
      </c>
      <c r="L2">
        <f>_xlfn.XLOOKUP($A2,'CheckM genomes'!$A$2:$A$15,'CheckM genomes'!I$2:I$15)</f>
        <v>6667</v>
      </c>
      <c r="M2">
        <f>_xlfn.XLOOKUP($A2,'CheckM genomes'!$A$2:$A$15,'CheckM genomes'!K$2:K$15)</f>
        <v>7580</v>
      </c>
    </row>
    <row r="3" spans="1:13" ht="14.4" x14ac:dyDescent="0.3">
      <c r="A3" t="s">
        <v>14</v>
      </c>
      <c r="B3" s="6" t="s">
        <v>15</v>
      </c>
      <c r="C3" t="s">
        <v>16</v>
      </c>
      <c r="D3" t="s">
        <v>17</v>
      </c>
      <c r="E3" s="7" t="s">
        <v>18</v>
      </c>
      <c r="F3" s="5">
        <f>_xlfn.XLOOKUP($A3,'Relative abundances MGX'!$A$2:$A$100,'Relative abundances MGX'!B$2:B$100)</f>
        <v>0.76475711725831652</v>
      </c>
      <c r="G3" s="5">
        <f>_xlfn.XLOOKUP($A3,'Relative abundances MGX'!$A$2:$A$100,'Relative abundances MGX'!C$2:C$100)</f>
        <v>0.51280915351701817</v>
      </c>
      <c r="H3" s="5">
        <f>_xlfn.XLOOKUP($A3,'Relative abundances MGX'!$A$2:$A$100,'Relative abundances MGX'!D$2:D$100)</f>
        <v>0.35459369442845429</v>
      </c>
      <c r="I3" s="5">
        <f>_xlfn.XLOOKUP($A3,'Relative abundances MGX'!$A$2:$A$100,'Relative abundances MGX'!E$2:E$100)</f>
        <v>0.43377831807593858</v>
      </c>
      <c r="J3">
        <f>_xlfn.XLOOKUP($A3,'CheckM genomes'!$A$2:$A$15,'CheckM genomes'!D$2:D$15)</f>
        <v>100</v>
      </c>
      <c r="K3">
        <f>_xlfn.XLOOKUP($A3,'CheckM genomes'!$A$2:$A$15,'CheckM genomes'!G$2:G$15)</f>
        <v>7025</v>
      </c>
      <c r="L3">
        <f>_xlfn.XLOOKUP($A3,'CheckM genomes'!$A$2:$A$15,'CheckM genomes'!I$2:I$15)</f>
        <v>6966</v>
      </c>
      <c r="M3">
        <f>_xlfn.XLOOKUP($A3,'CheckM genomes'!$A$2:$A$15,'CheckM genomes'!K$2:K$15)</f>
        <v>6306</v>
      </c>
    </row>
    <row r="4" spans="1:13" ht="14.4" x14ac:dyDescent="0.3">
      <c r="A4" t="s">
        <v>19</v>
      </c>
      <c r="C4" t="s">
        <v>16</v>
      </c>
      <c r="D4" t="s">
        <v>20</v>
      </c>
      <c r="F4" s="5">
        <f>_xlfn.XLOOKUP($A4,'Relative abundances MGX'!$A$2:$A$100,'Relative abundances MGX'!B$2:B$100)</f>
        <v>0.34060297733501382</v>
      </c>
      <c r="G4" s="5">
        <f>_xlfn.XLOOKUP($A4,'Relative abundances MGX'!$A$2:$A$100,'Relative abundances MGX'!C$2:C$100)</f>
        <v>0.4997784065211392</v>
      </c>
      <c r="H4" s="5">
        <f>_xlfn.XLOOKUP($A4,'Relative abundances MGX'!$A$2:$A$100,'Relative abundances MGX'!D$2:D$100)</f>
        <v>0.32381619126896161</v>
      </c>
      <c r="I4" s="5">
        <f>_xlfn.XLOOKUP($A4,'Relative abundances MGX'!$A$2:$A$100,'Relative abundances MGX'!E$2:E$100)</f>
        <v>1.2948589785911331</v>
      </c>
      <c r="J4">
        <f>_xlfn.XLOOKUP($A4,'CheckM MAGs'!$A$2:$A$15,'CheckM MAGs'!D$2:D$15)</f>
        <v>99.1</v>
      </c>
      <c r="K4">
        <f>_xlfn.XLOOKUP($A4,'CheckM MAGs'!$A$2:$A$15,'CheckM MAGs'!G$2:G$15)</f>
        <v>5282</v>
      </c>
      <c r="L4">
        <f>_xlfn.XLOOKUP($A4,'CheckM MAGs'!$A$2:$A$15,'CheckM MAGs'!I$2:I$15)</f>
        <v>231</v>
      </c>
      <c r="M4">
        <f>_xlfn.XLOOKUP($A4,'CheckM MAGs'!$A$2:$A$15,'CheckM MAGs'!K$2:K$15)</f>
        <v>4947</v>
      </c>
    </row>
    <row r="5" spans="1:13" ht="14.4" x14ac:dyDescent="0.3">
      <c r="A5" t="s">
        <v>21</v>
      </c>
      <c r="B5" s="6" t="s">
        <v>22</v>
      </c>
      <c r="C5" t="s">
        <v>16</v>
      </c>
      <c r="D5" t="s">
        <v>23</v>
      </c>
      <c r="E5" s="7" t="s">
        <v>24</v>
      </c>
      <c r="F5" s="5">
        <f>_xlfn.XLOOKUP($A5,'Relative abundances MGX'!$A$2:$A$100,'Relative abundances MGX'!B$2:B$100)</f>
        <v>0.20839824038817761</v>
      </c>
      <c r="G5" s="5">
        <f>_xlfn.XLOOKUP($A5,'Relative abundances MGX'!$A$2:$A$100,'Relative abundances MGX'!C$2:C$100)</f>
        <v>0.18261429945465121</v>
      </c>
      <c r="H5" s="5">
        <f>_xlfn.XLOOKUP($A5,'Relative abundances MGX'!$A$2:$A$100,'Relative abundances MGX'!D$2:D$100)</f>
        <v>0.17701345693203141</v>
      </c>
      <c r="I5" s="5">
        <f>_xlfn.XLOOKUP($A5,'Relative abundances MGX'!$A$2:$A$100,'Relative abundances MGX'!E$2:E$100)</f>
        <v>0.1790601781977349</v>
      </c>
      <c r="J5">
        <f>_xlfn.XLOOKUP($A5,'CheckM genomes'!$A$2:$A$15,'CheckM genomes'!D$2:D$15)</f>
        <v>100</v>
      </c>
      <c r="K5">
        <f>_xlfn.XLOOKUP($A5,'CheckM genomes'!$A$2:$A$15,'CheckM genomes'!G$2:G$15)</f>
        <v>7003</v>
      </c>
      <c r="L5">
        <f>_xlfn.XLOOKUP($A5,'CheckM genomes'!$A$2:$A$15,'CheckM genomes'!I$2:I$15)</f>
        <v>7003</v>
      </c>
      <c r="M5">
        <f>_xlfn.XLOOKUP($A5,'CheckM genomes'!$A$2:$A$15,'CheckM genomes'!K$2:K$15)</f>
        <v>6259</v>
      </c>
    </row>
    <row r="6" spans="1:13" ht="14.4" x14ac:dyDescent="0.3">
      <c r="A6" t="s">
        <v>25</v>
      </c>
      <c r="B6" s="6" t="s">
        <v>26</v>
      </c>
      <c r="C6" t="s">
        <v>16</v>
      </c>
      <c r="D6" t="s">
        <v>27</v>
      </c>
      <c r="E6" s="7" t="s">
        <v>13</v>
      </c>
      <c r="F6" s="5">
        <f>_xlfn.XLOOKUP($A6,'Relative abundances MGX'!$A$2:$A$100,'Relative abundances MGX'!B$2:B$100)</f>
        <v>0.14528554746664149</v>
      </c>
      <c r="G6" s="5">
        <f>_xlfn.XLOOKUP($A6,'Relative abundances MGX'!$A$2:$A$100,'Relative abundances MGX'!C$2:C$100)</f>
        <v>0.13327034408455471</v>
      </c>
      <c r="H6" s="5">
        <f>_xlfn.XLOOKUP($A6,'Relative abundances MGX'!$A$2:$A$100,'Relative abundances MGX'!D$2:D$100)</f>
        <v>0.1589116590908306</v>
      </c>
      <c r="I6" s="5">
        <f>_xlfn.XLOOKUP($A6,'Relative abundances MGX'!$A$2:$A$100,'Relative abundances MGX'!E$2:E$100)</f>
        <v>0.12724532561288679</v>
      </c>
      <c r="J6">
        <f>_xlfn.XLOOKUP($A6,'CheckM genomes'!$A$2:$A$15,'CheckM genomes'!D$2:D$15)</f>
        <v>100</v>
      </c>
      <c r="K6">
        <f>_xlfn.XLOOKUP($A6,'CheckM genomes'!$A$2:$A$15,'CheckM genomes'!G$2:G$15)</f>
        <v>6999</v>
      </c>
      <c r="L6">
        <f>_xlfn.XLOOKUP($A6,'CheckM genomes'!$A$2:$A$15,'CheckM genomes'!I$2:I$15)</f>
        <v>6999</v>
      </c>
      <c r="M6">
        <f>_xlfn.XLOOKUP($A6,'CheckM genomes'!$A$2:$A$15,'CheckM genomes'!K$2:K$15)</f>
        <v>6211</v>
      </c>
    </row>
    <row r="7" spans="1:13" ht="14.4" x14ac:dyDescent="0.3">
      <c r="A7" t="s">
        <v>28</v>
      </c>
      <c r="B7" s="6" t="s">
        <v>29</v>
      </c>
      <c r="C7" t="s">
        <v>16</v>
      </c>
      <c r="D7" t="s">
        <v>30</v>
      </c>
      <c r="E7" s="7" t="s">
        <v>13</v>
      </c>
      <c r="F7" s="5">
        <f>_xlfn.XLOOKUP($A7,'Relative abundances MGX'!$A$2:$A$100,'Relative abundances MGX'!B$2:B$100)</f>
        <v>6.7858693098131237E-2</v>
      </c>
      <c r="G7" s="5">
        <f>_xlfn.XLOOKUP($A7,'Relative abundances MGX'!$A$2:$A$100,'Relative abundances MGX'!C$2:C$100)</f>
        <v>6.456479488546335E-2</v>
      </c>
      <c r="H7" s="5">
        <f>_xlfn.XLOOKUP($A7,'Relative abundances MGX'!$A$2:$A$100,'Relative abundances MGX'!D$2:D$100)</f>
        <v>9.5678649838981125E-2</v>
      </c>
      <c r="I7" s="5">
        <f>_xlfn.XLOOKUP($A7,'Relative abundances MGX'!$A$2:$A$100,'Relative abundances MGX'!E$2:E$100)</f>
        <v>5.876613003942225E-2</v>
      </c>
      <c r="J7">
        <f>_xlfn.XLOOKUP($A7,'CheckM genomes'!$A$2:$A$15,'CheckM genomes'!D$2:D$15)</f>
        <v>99.9</v>
      </c>
      <c r="K7">
        <f>_xlfn.XLOOKUP($A7,'CheckM genomes'!$A$2:$A$15,'CheckM genomes'!G$2:G$15)</f>
        <v>4606</v>
      </c>
      <c r="L7">
        <f>_xlfn.XLOOKUP($A7,'CheckM genomes'!$A$2:$A$15,'CheckM genomes'!I$2:I$15)</f>
        <v>4606</v>
      </c>
      <c r="M7">
        <f>_xlfn.XLOOKUP($A7,'CheckM genomes'!$A$2:$A$15,'CheckM genomes'!K$2:K$15)</f>
        <v>3981</v>
      </c>
    </row>
    <row r="8" spans="1:13" ht="14.4" x14ac:dyDescent="0.3">
      <c r="A8" t="s">
        <v>31</v>
      </c>
      <c r="B8" s="6" t="s">
        <v>32</v>
      </c>
      <c r="C8" t="s">
        <v>16</v>
      </c>
      <c r="D8" t="s">
        <v>33</v>
      </c>
      <c r="E8" s="7" t="s">
        <v>24</v>
      </c>
      <c r="F8" s="5">
        <f>_xlfn.XLOOKUP($A8,'Relative abundances MGX'!$A$2:$A$100,'Relative abundances MGX'!B$2:B$100)</f>
        <v>6.9198801140613775E-2</v>
      </c>
      <c r="G8" s="5">
        <f>_xlfn.XLOOKUP($A8,'Relative abundances MGX'!$A$2:$A$100,'Relative abundances MGX'!C$2:C$100)</f>
        <v>6.2709078565769905E-2</v>
      </c>
      <c r="H8" s="5">
        <f>_xlfn.XLOOKUP($A8,'Relative abundances MGX'!$A$2:$A$100,'Relative abundances MGX'!D$2:D$100)</f>
        <v>8.0404780958066357E-2</v>
      </c>
      <c r="I8" s="5">
        <f>_xlfn.XLOOKUP($A8,'Relative abundances MGX'!$A$2:$A$100,'Relative abundances MGX'!E$2:E$100)</f>
        <v>5.8153782457818777E-2</v>
      </c>
      <c r="J8">
        <f>_xlfn.XLOOKUP($A8,'CheckM genomes'!$A$2:$A$15,'CheckM genomes'!D$2:D$15)</f>
        <v>100</v>
      </c>
      <c r="K8">
        <f>_xlfn.XLOOKUP($A8,'CheckM genomes'!$A$2:$A$15,'CheckM genomes'!G$2:G$15)</f>
        <v>7046</v>
      </c>
      <c r="L8">
        <f>_xlfn.XLOOKUP($A8,'CheckM genomes'!$A$2:$A$15,'CheckM genomes'!I$2:I$15)</f>
        <v>5255</v>
      </c>
      <c r="M8">
        <f>_xlfn.XLOOKUP($A8,'CheckM genomes'!$A$2:$A$15,'CheckM genomes'!K$2:K$15)</f>
        <v>6311</v>
      </c>
    </row>
    <row r="9" spans="1:13" ht="14.4" x14ac:dyDescent="0.3">
      <c r="A9" t="s">
        <v>34</v>
      </c>
      <c r="B9" s="6" t="s">
        <v>35</v>
      </c>
      <c r="C9" t="s">
        <v>16</v>
      </c>
      <c r="D9" t="s">
        <v>36</v>
      </c>
      <c r="E9" s="7" t="s">
        <v>13</v>
      </c>
      <c r="F9" s="5">
        <f>_xlfn.XLOOKUP($A9,'Relative abundances MGX'!$A$2:$A$100,'Relative abundances MGX'!B$2:B$100)</f>
        <v>2.96162237682722E-2</v>
      </c>
      <c r="G9" s="5">
        <f>_xlfn.XLOOKUP($A9,'Relative abundances MGX'!$A$2:$A$100,'Relative abundances MGX'!C$2:C$100)</f>
        <v>2.893674534631089E-2</v>
      </c>
      <c r="H9" s="5">
        <f>_xlfn.XLOOKUP($A9,'Relative abundances MGX'!$A$2:$A$100,'Relative abundances MGX'!D$2:D$100)</f>
        <v>6.5809857838337857E-2</v>
      </c>
      <c r="I9" s="5">
        <f>_xlfn.XLOOKUP($A9,'Relative abundances MGX'!$A$2:$A$100,'Relative abundances MGX'!E$2:E$100)</f>
        <v>3.4194739782232891E-2</v>
      </c>
      <c r="J9">
        <f>_xlfn.XLOOKUP($A9,'CheckM genomes'!$A$2:$A$15,'CheckM genomes'!D$2:D$15)</f>
        <v>100</v>
      </c>
      <c r="K9">
        <f>_xlfn.XLOOKUP($A9,'CheckM genomes'!$A$2:$A$15,'CheckM genomes'!G$2:G$15)</f>
        <v>6973</v>
      </c>
      <c r="L9">
        <f>_xlfn.XLOOKUP($A9,'CheckM genomes'!$A$2:$A$15,'CheckM genomes'!I$2:I$15)</f>
        <v>6973</v>
      </c>
      <c r="M9">
        <f>_xlfn.XLOOKUP($A9,'CheckM genomes'!$A$2:$A$15,'CheckM genomes'!K$2:K$15)</f>
        <v>6245</v>
      </c>
    </row>
    <row r="10" spans="1:13" ht="14.4" x14ac:dyDescent="0.3">
      <c r="A10" t="s">
        <v>37</v>
      </c>
      <c r="C10" t="s">
        <v>16</v>
      </c>
      <c r="D10" t="s">
        <v>38</v>
      </c>
      <c r="F10" s="5">
        <f>_xlfn.XLOOKUP($A10,'Relative abundances MGX'!$A$2:$A$100,'Relative abundances MGX'!B$2:B$100)</f>
        <v>0.14143509046691299</v>
      </c>
      <c r="G10" s="5">
        <f>_xlfn.XLOOKUP($A10,'Relative abundances MGX'!$A$2:$A$100,'Relative abundances MGX'!C$2:C$100)</f>
        <v>0.15856911636466731</v>
      </c>
      <c r="H10" s="5">
        <f>_xlfn.XLOOKUP($A10,'Relative abundances MGX'!$A$2:$A$100,'Relative abundances MGX'!D$2:D$100)</f>
        <v>5.0635037691490699E-2</v>
      </c>
      <c r="I10" s="5">
        <f>_xlfn.XLOOKUP($A10,'Relative abundances MGX'!$A$2:$A$100,'Relative abundances MGX'!E$2:E$100)</f>
        <v>0.14810655055985311</v>
      </c>
      <c r="J10">
        <f>_xlfn.XLOOKUP($A10,'CheckM MAGs'!$A$2:$A$15,'CheckM MAGs'!D$2:D$15)</f>
        <v>94.9</v>
      </c>
      <c r="K10">
        <f>_xlfn.XLOOKUP($A10,'CheckM MAGs'!$A$2:$A$15,'CheckM MAGs'!G$2:G$15)</f>
        <v>6894</v>
      </c>
      <c r="L10">
        <f>_xlfn.XLOOKUP($A10,'CheckM MAGs'!$A$2:$A$15,'CheckM MAGs'!I$2:I$15)</f>
        <v>9</v>
      </c>
      <c r="M10">
        <f>_xlfn.XLOOKUP($A10,'CheckM MAGs'!$A$2:$A$15,'CheckM MAGs'!K$2:K$15)</f>
        <v>7163</v>
      </c>
    </row>
    <row r="11" spans="1:13" ht="14.4" x14ac:dyDescent="0.3">
      <c r="A11" t="s">
        <v>39</v>
      </c>
      <c r="C11" t="s">
        <v>11</v>
      </c>
      <c r="D11" t="s">
        <v>40</v>
      </c>
      <c r="F11" s="5">
        <f>_xlfn.XLOOKUP($A11,'Relative abundances MGX'!$A$2:$A$100,'Relative abundances MGX'!B$2:B$100)</f>
        <v>0.74068002137031674</v>
      </c>
      <c r="G11" s="5">
        <f>_xlfn.XLOOKUP($A11,'Relative abundances MGX'!$A$2:$A$100,'Relative abundances MGX'!C$2:C$100)</f>
        <v>0.1621215162260834</v>
      </c>
      <c r="H11" s="5">
        <f>_xlfn.XLOOKUP($A11,'Relative abundances MGX'!$A$2:$A$100,'Relative abundances MGX'!D$2:D$100)</f>
        <v>4.8040849620975427E-2</v>
      </c>
      <c r="I11" s="5">
        <f>_xlfn.XLOOKUP($A11,'Relative abundances MGX'!$A$2:$A$100,'Relative abundances MGX'!E$2:E$100)</f>
        <v>0.20611133138682811</v>
      </c>
      <c r="J11">
        <f>_xlfn.XLOOKUP($A11,'CheckM MAGs'!$A$2:$A$15,'CheckM MAGs'!D$2:D$15)</f>
        <v>98.9</v>
      </c>
      <c r="K11">
        <f>_xlfn.XLOOKUP($A11,'CheckM MAGs'!$A$2:$A$15,'CheckM MAGs'!G$2:G$15)</f>
        <v>2720</v>
      </c>
      <c r="L11">
        <f>_xlfn.XLOOKUP($A11,'CheckM MAGs'!$A$2:$A$15,'CheckM MAGs'!I$2:I$15)</f>
        <v>118</v>
      </c>
      <c r="M11">
        <f>_xlfn.XLOOKUP($A11,'CheckM MAGs'!$A$2:$A$15,'CheckM MAGs'!K$2:K$15)</f>
        <v>2505</v>
      </c>
    </row>
    <row r="12" spans="1:13" ht="14.4" x14ac:dyDescent="0.3">
      <c r="A12" t="s">
        <v>41</v>
      </c>
      <c r="B12" s="6" t="s">
        <v>42</v>
      </c>
      <c r="C12" t="s">
        <v>16</v>
      </c>
      <c r="D12" t="s">
        <v>43</v>
      </c>
      <c r="E12" s="7" t="s">
        <v>18</v>
      </c>
      <c r="F12" s="5">
        <f>_xlfn.XLOOKUP($A12,'Relative abundances MGX'!$A$2:$A$100,'Relative abundances MGX'!B$2:B$100)</f>
        <v>3.613692618637368E-2</v>
      </c>
      <c r="G12" s="5">
        <f>_xlfn.XLOOKUP($A12,'Relative abundances MGX'!$A$2:$A$100,'Relative abundances MGX'!C$2:C$100)</f>
        <v>3.6394387452929881E-2</v>
      </c>
      <c r="H12" s="5">
        <f>_xlfn.XLOOKUP($A12,'Relative abundances MGX'!$A$2:$A$100,'Relative abundances MGX'!D$2:D$100)</f>
        <v>3.8763093095586343E-2</v>
      </c>
      <c r="I12" s="5">
        <f>_xlfn.XLOOKUP($A12,'Relative abundances MGX'!$A$2:$A$100,'Relative abundances MGX'!E$2:E$100)</f>
        <v>4.0074585700389138E-2</v>
      </c>
      <c r="J12">
        <f>_xlfn.XLOOKUP($A12,'CheckM genomes'!$A$2:$A$15,'CheckM genomes'!D$2:D$15)</f>
        <v>100</v>
      </c>
      <c r="K12">
        <f>_xlfn.XLOOKUP($A12,'CheckM genomes'!$A$2:$A$15,'CheckM genomes'!G$2:G$15)</f>
        <v>7907</v>
      </c>
      <c r="L12">
        <f>_xlfn.XLOOKUP($A12,'CheckM genomes'!$A$2:$A$15,'CheckM genomes'!I$2:I$15)</f>
        <v>7884</v>
      </c>
      <c r="M12">
        <f>_xlfn.XLOOKUP($A12,'CheckM genomes'!$A$2:$A$15,'CheckM genomes'!K$2:K$15)</f>
        <v>7246</v>
      </c>
    </row>
    <row r="13" spans="1:13" ht="14.4" x14ac:dyDescent="0.3">
      <c r="A13" t="s">
        <v>44</v>
      </c>
      <c r="B13" s="6" t="s">
        <v>45</v>
      </c>
      <c r="C13" t="s">
        <v>16</v>
      </c>
      <c r="D13" t="s">
        <v>46</v>
      </c>
      <c r="E13" s="7" t="s">
        <v>24</v>
      </c>
      <c r="F13" s="5">
        <f>_xlfn.XLOOKUP($A13,'Relative abundances MGX'!$A$2:$A$100,'Relative abundances MGX'!B$2:B$100)</f>
        <v>3.6001544198398523E-2</v>
      </c>
      <c r="G13" s="5">
        <f>_xlfn.XLOOKUP($A13,'Relative abundances MGX'!$A$2:$A$100,'Relative abundances MGX'!C$2:C$100)</f>
        <v>3.1513412961763368E-2</v>
      </c>
      <c r="H13" s="5">
        <f>_xlfn.XLOOKUP($A13,'Relative abundances MGX'!$A$2:$A$100,'Relative abundances MGX'!D$2:D$100)</f>
        <v>3.3429100319004083E-2</v>
      </c>
      <c r="I13" s="5">
        <f>_xlfn.XLOOKUP($A13,'Relative abundances MGX'!$A$2:$A$100,'Relative abundances MGX'!E$2:E$100)</f>
        <v>3.0575034607560659E-2</v>
      </c>
      <c r="J13">
        <f>_xlfn.XLOOKUP($A13,'CheckM genomes'!$A$2:$A$15,'CheckM genomes'!D$2:D$15)</f>
        <v>99.8</v>
      </c>
      <c r="K13">
        <f>_xlfn.XLOOKUP($A13,'CheckM genomes'!$A$2:$A$15,'CheckM genomes'!G$2:G$15)</f>
        <v>6385</v>
      </c>
      <c r="L13">
        <f>_xlfn.XLOOKUP($A13,'CheckM genomes'!$A$2:$A$15,'CheckM genomes'!I$2:I$15)</f>
        <v>6385</v>
      </c>
      <c r="M13">
        <f>_xlfn.XLOOKUP($A13,'CheckM genomes'!$A$2:$A$15,'CheckM genomes'!K$2:K$15)</f>
        <v>5431</v>
      </c>
    </row>
    <row r="14" spans="1:13" ht="14.4" x14ac:dyDescent="0.3">
      <c r="A14" t="s">
        <v>47</v>
      </c>
      <c r="B14" s="6" t="s">
        <v>48</v>
      </c>
      <c r="C14" t="s">
        <v>16</v>
      </c>
      <c r="D14" t="s">
        <v>49</v>
      </c>
      <c r="E14" s="6" t="s">
        <v>50</v>
      </c>
      <c r="F14" s="5">
        <f>_xlfn.XLOOKUP($A14,'Relative abundances MGX'!$A$2:$A$100,'Relative abundances MGX'!B$2:B$100)</f>
        <v>2.4101419474234932E-2</v>
      </c>
      <c r="G14" s="5">
        <f>_xlfn.XLOOKUP($A14,'Relative abundances MGX'!$A$2:$A$100,'Relative abundances MGX'!C$2:C$100)</f>
        <v>1.550564299548671E-2</v>
      </c>
      <c r="H14" s="5">
        <f>_xlfn.XLOOKUP($A14,'Relative abundances MGX'!$A$2:$A$100,'Relative abundances MGX'!D$2:D$100)</f>
        <v>9.1845908285827192E-3</v>
      </c>
      <c r="I14" s="5">
        <f>_xlfn.XLOOKUP($A14,'Relative abundances MGX'!$A$2:$A$100,'Relative abundances MGX'!E$2:E$100)</f>
        <v>1.9488021481308199E-2</v>
      </c>
      <c r="J14">
        <f>_xlfn.XLOOKUP($A14,'CheckM genomes'!$A$2:$A$15,'CheckM genomes'!D$2:D$15)</f>
        <v>100</v>
      </c>
      <c r="K14">
        <f>_xlfn.XLOOKUP($A14,'CheckM genomes'!$A$2:$A$15,'CheckM genomes'!G$2:G$15)</f>
        <v>5381</v>
      </c>
      <c r="L14">
        <f>_xlfn.XLOOKUP($A14,'CheckM genomes'!$A$2:$A$15,'CheckM genomes'!I$2:I$15)</f>
        <v>5381</v>
      </c>
      <c r="M14">
        <f>_xlfn.XLOOKUP($A14,'CheckM genomes'!$A$2:$A$15,'CheckM genomes'!K$2:K$15)</f>
        <v>4545</v>
      </c>
    </row>
    <row r="15" spans="1:13" ht="14.4" x14ac:dyDescent="0.3">
      <c r="A15" t="s">
        <v>51</v>
      </c>
      <c r="B15" s="6" t="s">
        <v>52</v>
      </c>
      <c r="C15" t="s">
        <v>16</v>
      </c>
      <c r="D15" t="s">
        <v>53</v>
      </c>
      <c r="E15" s="7" t="s">
        <v>24</v>
      </c>
      <c r="F15" s="5">
        <f>_xlfn.XLOOKUP($A15,'Relative abundances MGX'!$A$2:$A$100,'Relative abundances MGX'!B$2:B$100)</f>
        <v>5.1519189375684119E-3</v>
      </c>
      <c r="G15" s="5">
        <f>_xlfn.XLOOKUP($A15,'Relative abundances MGX'!$A$2:$A$100,'Relative abundances MGX'!C$2:C$100)</f>
        <v>6.5575262471098631E-3</v>
      </c>
      <c r="H15" s="5">
        <f>_xlfn.XLOOKUP($A15,'Relative abundances MGX'!$A$2:$A$100,'Relative abundances MGX'!D$2:D$100)</f>
        <v>6.4087747037655787E-3</v>
      </c>
      <c r="I15" s="5">
        <f>_xlfn.XLOOKUP($A15,'Relative abundances MGX'!$A$2:$A$100,'Relative abundances MGX'!E$2:E$100)</f>
        <v>9.1922184807940698E-3</v>
      </c>
      <c r="J15">
        <f>_xlfn.XLOOKUP($A15,'CheckM genomes'!$A$2:$A$15,'CheckM genomes'!D$2:D$15)</f>
        <v>100</v>
      </c>
      <c r="K15">
        <f>_xlfn.XLOOKUP($A15,'CheckM genomes'!$A$2:$A$15,'CheckM genomes'!G$2:G$15)</f>
        <v>6715</v>
      </c>
      <c r="L15">
        <f>_xlfn.XLOOKUP($A15,'CheckM genomes'!$A$2:$A$15,'CheckM genomes'!I$2:I$15)</f>
        <v>6715</v>
      </c>
      <c r="M15">
        <f>_xlfn.XLOOKUP($A15,'CheckM genomes'!$A$2:$A$15,'CheckM genomes'!K$2:K$15)</f>
        <v>6117</v>
      </c>
    </row>
    <row r="16" spans="1:13" ht="14.4" x14ac:dyDescent="0.3">
      <c r="A16" t="s">
        <v>54</v>
      </c>
      <c r="B16" s="6" t="s">
        <v>55</v>
      </c>
      <c r="C16" t="s">
        <v>16</v>
      </c>
      <c r="D16" t="s">
        <v>56</v>
      </c>
      <c r="E16" s="7" t="s">
        <v>24</v>
      </c>
      <c r="F16" s="5">
        <f>_xlfn.XLOOKUP($A16,'Relative abundances MGX'!$A$2:$A$100,'Relative abundances MGX'!B$2:B$100)</f>
        <v>3.1850387334552699E-3</v>
      </c>
      <c r="G16" s="5">
        <f>_xlfn.XLOOKUP($A16,'Relative abundances MGX'!$A$2:$A$100,'Relative abundances MGX'!C$2:C$100)</f>
        <v>3.7309720128262691E-3</v>
      </c>
      <c r="H16" s="5">
        <f>_xlfn.XLOOKUP($A16,'Relative abundances MGX'!$A$2:$A$100,'Relative abundances MGX'!D$2:D$100)</f>
        <v>4.3940847356149174E-3</v>
      </c>
      <c r="I16" s="5">
        <f>_xlfn.XLOOKUP($A16,'Relative abundances MGX'!$A$2:$A$100,'Relative abundances MGX'!E$2:E$100)</f>
        <v>3.6840086032380289E-3</v>
      </c>
      <c r="J16">
        <f>_xlfn.XLOOKUP($A16,'CheckM genomes'!$A$2:$A$15,'CheckM genomes'!D$2:D$15)</f>
        <v>100</v>
      </c>
      <c r="K16">
        <f>_xlfn.XLOOKUP($A16,'CheckM genomes'!$A$2:$A$15,'CheckM genomes'!G$2:G$15)</f>
        <v>4481</v>
      </c>
      <c r="L16">
        <f>_xlfn.XLOOKUP($A16,'CheckM genomes'!$A$2:$A$15,'CheckM genomes'!I$2:I$15)</f>
        <v>4481</v>
      </c>
      <c r="M16">
        <f>_xlfn.XLOOKUP($A16,'CheckM genomes'!$A$2:$A$15,'CheckM genomes'!K$2:K$15)</f>
        <v>3972</v>
      </c>
    </row>
    <row r="17" spans="1:13" ht="14.4" x14ac:dyDescent="0.3">
      <c r="A17" t="s">
        <v>57</v>
      </c>
      <c r="B17" s="6" t="s">
        <v>58</v>
      </c>
      <c r="C17" t="s">
        <v>16</v>
      </c>
      <c r="D17" t="s">
        <v>59</v>
      </c>
      <c r="E17" s="7" t="s">
        <v>18</v>
      </c>
      <c r="F17" s="5">
        <f>_xlfn.XLOOKUP($A17,'Relative abundances MGX'!$A$2:$A$100,'Relative abundances MGX'!B$2:B$100)</f>
        <v>5.169780709687123E-3</v>
      </c>
      <c r="G17" s="5">
        <f>_xlfn.XLOOKUP($A17,'Relative abundances MGX'!$A$2:$A$100,'Relative abundances MGX'!C$2:C$100)</f>
        <v>5.0208106246844436E-3</v>
      </c>
      <c r="H17" s="5">
        <f>_xlfn.XLOOKUP($A17,'Relative abundances MGX'!$A$2:$A$100,'Relative abundances MGX'!D$2:D$100)</f>
        <v>3.7079616287621531E-3</v>
      </c>
      <c r="I17" s="5">
        <f>_xlfn.XLOOKUP($A17,'Relative abundances MGX'!$A$2:$A$100,'Relative abundances MGX'!E$2:E$100)</f>
        <v>8.7402836010516283E-3</v>
      </c>
      <c r="J17">
        <f>_xlfn.XLOOKUP($A17,'CheckM genomes'!$A$2:$A$15,'CheckM genomes'!D$2:D$15)</f>
        <v>100</v>
      </c>
      <c r="K17">
        <f>_xlfn.XLOOKUP($A17,'CheckM genomes'!$A$2:$A$15,'CheckM genomes'!G$2:G$15)</f>
        <v>6648</v>
      </c>
      <c r="L17">
        <f>_xlfn.XLOOKUP($A17,'CheckM genomes'!$A$2:$A$15,'CheckM genomes'!I$2:I$15)</f>
        <v>6648</v>
      </c>
      <c r="M17">
        <f>_xlfn.XLOOKUP($A17,'CheckM genomes'!$A$2:$A$15,'CheckM genomes'!K$2:K$15)</f>
        <v>5854</v>
      </c>
    </row>
    <row r="18" spans="1:13" ht="14.4" x14ac:dyDescent="0.3">
      <c r="A18" t="s">
        <v>60</v>
      </c>
      <c r="B18" s="6" t="s">
        <v>61</v>
      </c>
      <c r="C18" t="s">
        <v>16</v>
      </c>
      <c r="D18" t="s">
        <v>62</v>
      </c>
      <c r="E18" s="7" t="s">
        <v>18</v>
      </c>
      <c r="F18" s="5">
        <f>_xlfn.XLOOKUP($A18,'Relative abundances MGX'!$A$2:$A$100,'Relative abundances MGX'!B$2:B$100)</f>
        <v>2.544271530591443E-3</v>
      </c>
      <c r="G18" s="5">
        <f>_xlfn.XLOOKUP($A18,'Relative abundances MGX'!$A$2:$A$100,'Relative abundances MGX'!C$2:C$100)</f>
        <v>3.0373993770861948E-3</v>
      </c>
      <c r="H18" s="5">
        <f>_xlfn.XLOOKUP($A18,'Relative abundances MGX'!$A$2:$A$100,'Relative abundances MGX'!D$2:D$100)</f>
        <v>3.4544235805420388E-3</v>
      </c>
      <c r="I18" s="5">
        <f>_xlfn.XLOOKUP($A18,'Relative abundances MGX'!$A$2:$A$100,'Relative abundances MGX'!E$2:E$100)</f>
        <v>3.0198819490029742E-3</v>
      </c>
      <c r="J18">
        <f>_xlfn.XLOOKUP($A18,'CheckM genomes'!$A$2:$A$15,'CheckM genomes'!D$2:D$15)</f>
        <v>100</v>
      </c>
      <c r="K18">
        <f>_xlfn.XLOOKUP($A18,'CheckM genomes'!$A$2:$A$15,'CheckM genomes'!G$2:G$15)</f>
        <v>5464</v>
      </c>
      <c r="L18">
        <f>_xlfn.XLOOKUP($A18,'CheckM genomes'!$A$2:$A$15,'CheckM genomes'!I$2:I$15)</f>
        <v>4862</v>
      </c>
      <c r="M18">
        <f>_xlfn.XLOOKUP($A18,'CheckM genomes'!$A$2:$A$15,'CheckM genomes'!K$2:K$15)</f>
        <v>4965</v>
      </c>
    </row>
  </sheetData>
  <autoFilter ref="A1:M1" xr:uid="{7D82F49F-8400-4B38-9F22-985B1E539CB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7B7B-040B-4CB7-B0A3-D8089531E885}">
  <dimension ref="A1:K12"/>
  <sheetViews>
    <sheetView workbookViewId="0">
      <selection activeCell="J22" sqref="J22"/>
    </sheetView>
  </sheetViews>
  <sheetFormatPr defaultRowHeight="14.4" x14ac:dyDescent="0.3"/>
  <cols>
    <col min="1" max="11" width="13" customWidth="1"/>
  </cols>
  <sheetData>
    <row r="1" spans="1:11" ht="28.8" x14ac:dyDescent="0.3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72</v>
      </c>
      <c r="K1" s="3" t="s">
        <v>73</v>
      </c>
    </row>
    <row r="2" spans="1:11" x14ac:dyDescent="0.3">
      <c r="A2" t="s">
        <v>74</v>
      </c>
      <c r="B2" t="s">
        <v>75</v>
      </c>
      <c r="C2">
        <v>56</v>
      </c>
      <c r="D2">
        <v>4.2</v>
      </c>
      <c r="E2">
        <v>0</v>
      </c>
      <c r="F2">
        <v>55.7</v>
      </c>
      <c r="G2">
        <v>219</v>
      </c>
      <c r="H2">
        <v>38</v>
      </c>
      <c r="I2">
        <v>6</v>
      </c>
      <c r="J2">
        <v>6</v>
      </c>
      <c r="K2">
        <v>263</v>
      </c>
    </row>
    <row r="3" spans="1:11" x14ac:dyDescent="0.3">
      <c r="A3" t="s">
        <v>76</v>
      </c>
      <c r="B3" t="s">
        <v>75</v>
      </c>
      <c r="C3">
        <v>56</v>
      </c>
      <c r="D3">
        <v>0</v>
      </c>
      <c r="E3">
        <v>0</v>
      </c>
      <c r="F3">
        <v>54.5</v>
      </c>
      <c r="G3">
        <v>373</v>
      </c>
      <c r="H3">
        <v>49</v>
      </c>
      <c r="I3">
        <v>12</v>
      </c>
      <c r="J3">
        <v>8</v>
      </c>
      <c r="K3">
        <v>391</v>
      </c>
    </row>
    <row r="4" spans="1:11" x14ac:dyDescent="0.3">
      <c r="A4" t="s">
        <v>77</v>
      </c>
      <c r="B4" t="s">
        <v>75</v>
      </c>
      <c r="C4">
        <v>56</v>
      </c>
      <c r="D4">
        <v>0</v>
      </c>
      <c r="E4">
        <v>0</v>
      </c>
      <c r="F4">
        <v>56.4</v>
      </c>
      <c r="G4">
        <v>358</v>
      </c>
      <c r="H4">
        <v>19</v>
      </c>
      <c r="I4">
        <v>60</v>
      </c>
      <c r="J4">
        <v>19</v>
      </c>
      <c r="K4">
        <v>344</v>
      </c>
    </row>
    <row r="5" spans="1:11" x14ac:dyDescent="0.3">
      <c r="A5" t="s">
        <v>78</v>
      </c>
      <c r="B5" t="s">
        <v>75</v>
      </c>
      <c r="C5">
        <v>56</v>
      </c>
      <c r="D5">
        <v>0</v>
      </c>
      <c r="E5">
        <v>0</v>
      </c>
      <c r="F5">
        <v>63.3</v>
      </c>
      <c r="G5">
        <v>530</v>
      </c>
      <c r="H5">
        <v>18</v>
      </c>
      <c r="I5">
        <v>56</v>
      </c>
      <c r="J5">
        <v>29</v>
      </c>
      <c r="K5">
        <v>566</v>
      </c>
    </row>
    <row r="6" spans="1:11" x14ac:dyDescent="0.3">
      <c r="A6" t="s">
        <v>79</v>
      </c>
      <c r="B6" t="s">
        <v>75</v>
      </c>
      <c r="C6">
        <v>56</v>
      </c>
      <c r="D6">
        <v>0</v>
      </c>
      <c r="E6">
        <v>0</v>
      </c>
      <c r="F6">
        <v>60.6</v>
      </c>
      <c r="G6">
        <v>2925</v>
      </c>
      <c r="H6">
        <v>786</v>
      </c>
      <c r="I6">
        <v>4</v>
      </c>
      <c r="J6">
        <v>4</v>
      </c>
      <c r="K6">
        <v>3204</v>
      </c>
    </row>
    <row r="7" spans="1:11" x14ac:dyDescent="0.3">
      <c r="A7" t="s">
        <v>80</v>
      </c>
      <c r="B7" t="s">
        <v>81</v>
      </c>
      <c r="C7">
        <v>103</v>
      </c>
      <c r="D7">
        <v>17.5</v>
      </c>
      <c r="E7">
        <v>1.8</v>
      </c>
      <c r="F7">
        <v>68.2</v>
      </c>
      <c r="G7">
        <v>1306</v>
      </c>
      <c r="H7">
        <v>508</v>
      </c>
      <c r="I7">
        <v>2</v>
      </c>
      <c r="J7">
        <v>3</v>
      </c>
      <c r="K7">
        <v>1662</v>
      </c>
    </row>
    <row r="8" spans="1:11" x14ac:dyDescent="0.3">
      <c r="A8" t="s">
        <v>39</v>
      </c>
      <c r="B8" t="s">
        <v>82</v>
      </c>
      <c r="C8">
        <v>400</v>
      </c>
      <c r="D8">
        <v>98.9</v>
      </c>
      <c r="E8">
        <v>1.5</v>
      </c>
      <c r="F8">
        <v>67.900000000000006</v>
      </c>
      <c r="G8">
        <v>2720</v>
      </c>
      <c r="H8">
        <v>51</v>
      </c>
      <c r="I8">
        <v>118</v>
      </c>
      <c r="J8">
        <v>53</v>
      </c>
      <c r="K8">
        <v>2505</v>
      </c>
    </row>
    <row r="9" spans="1:11" x14ac:dyDescent="0.3">
      <c r="A9" t="s">
        <v>83</v>
      </c>
      <c r="B9" t="s">
        <v>84</v>
      </c>
      <c r="C9">
        <v>659</v>
      </c>
      <c r="D9">
        <v>99.3</v>
      </c>
      <c r="E9">
        <v>0</v>
      </c>
      <c r="F9">
        <v>66.3</v>
      </c>
      <c r="G9">
        <v>4420</v>
      </c>
      <c r="H9">
        <v>86</v>
      </c>
      <c r="I9">
        <v>91</v>
      </c>
      <c r="J9">
        <v>51</v>
      </c>
      <c r="K9">
        <v>3924</v>
      </c>
    </row>
    <row r="10" spans="1:11" x14ac:dyDescent="0.3">
      <c r="A10" t="s">
        <v>19</v>
      </c>
      <c r="B10" t="s">
        <v>85</v>
      </c>
      <c r="C10">
        <v>427</v>
      </c>
      <c r="D10">
        <v>99.1</v>
      </c>
      <c r="E10">
        <v>1.2</v>
      </c>
      <c r="F10">
        <v>68.099999999999994</v>
      </c>
      <c r="G10">
        <v>5282</v>
      </c>
      <c r="H10">
        <v>50</v>
      </c>
      <c r="I10">
        <v>231</v>
      </c>
      <c r="J10">
        <v>106</v>
      </c>
      <c r="K10">
        <v>4947</v>
      </c>
    </row>
    <row r="11" spans="1:11" x14ac:dyDescent="0.3">
      <c r="A11" t="s">
        <v>37</v>
      </c>
      <c r="B11" t="s">
        <v>86</v>
      </c>
      <c r="C11">
        <v>596</v>
      </c>
      <c r="D11">
        <v>94.9</v>
      </c>
      <c r="E11">
        <v>1.7</v>
      </c>
      <c r="F11">
        <v>66.400000000000006</v>
      </c>
      <c r="G11">
        <v>6894</v>
      </c>
      <c r="H11">
        <v>1053</v>
      </c>
      <c r="I11">
        <v>9</v>
      </c>
      <c r="J11">
        <v>7</v>
      </c>
      <c r="K11">
        <v>7163</v>
      </c>
    </row>
    <row r="12" spans="1:11" x14ac:dyDescent="0.3">
      <c r="A12" t="s">
        <v>87</v>
      </c>
      <c r="B12" t="s">
        <v>88</v>
      </c>
      <c r="C12">
        <v>813</v>
      </c>
      <c r="D12">
        <v>96.9</v>
      </c>
      <c r="E12">
        <v>0.4</v>
      </c>
      <c r="F12">
        <v>59.3</v>
      </c>
      <c r="G12">
        <v>5769</v>
      </c>
      <c r="H12">
        <v>299</v>
      </c>
      <c r="I12">
        <v>31</v>
      </c>
      <c r="J12">
        <v>19</v>
      </c>
      <c r="K12">
        <v>5379</v>
      </c>
    </row>
  </sheetData>
  <autoFilter ref="A1:K1" xr:uid="{94397B7B-040B-4CB7-B0A3-D8089531E885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F92BD-3D5E-459F-823A-4F1E8ED34A5E}">
  <dimension ref="A1:C12"/>
  <sheetViews>
    <sheetView workbookViewId="0">
      <selection activeCell="A4" sqref="A4:C4"/>
    </sheetView>
  </sheetViews>
  <sheetFormatPr defaultRowHeight="14.4" x14ac:dyDescent="0.3"/>
  <sheetData>
    <row r="1" spans="1:3" x14ac:dyDescent="0.3">
      <c r="A1" s="1" t="s">
        <v>89</v>
      </c>
      <c r="B1" s="1" t="s">
        <v>90</v>
      </c>
      <c r="C1" s="1" t="s">
        <v>91</v>
      </c>
    </row>
    <row r="2" spans="1:3" x14ac:dyDescent="0.3">
      <c r="A2" t="s">
        <v>83</v>
      </c>
      <c r="B2" t="s">
        <v>16</v>
      </c>
      <c r="C2" t="s">
        <v>17</v>
      </c>
    </row>
    <row r="3" spans="1:3" x14ac:dyDescent="0.3">
      <c r="A3" t="s">
        <v>80</v>
      </c>
      <c r="B3" t="s">
        <v>16</v>
      </c>
      <c r="C3" t="s">
        <v>92</v>
      </c>
    </row>
    <row r="4" spans="1:3" x14ac:dyDescent="0.3">
      <c r="A4" t="s">
        <v>37</v>
      </c>
      <c r="B4" t="s">
        <v>16</v>
      </c>
      <c r="C4" t="s">
        <v>38</v>
      </c>
    </row>
    <row r="5" spans="1:3" x14ac:dyDescent="0.3">
      <c r="A5" t="s">
        <v>87</v>
      </c>
      <c r="B5" t="s">
        <v>11</v>
      </c>
      <c r="C5" t="s">
        <v>12</v>
      </c>
    </row>
    <row r="6" spans="1:3" x14ac:dyDescent="0.3">
      <c r="A6" t="s">
        <v>39</v>
      </c>
      <c r="B6" t="s">
        <v>11</v>
      </c>
      <c r="C6" t="s">
        <v>40</v>
      </c>
    </row>
    <row r="7" spans="1:3" x14ac:dyDescent="0.3">
      <c r="A7" t="s">
        <v>76</v>
      </c>
      <c r="B7" t="s">
        <v>93</v>
      </c>
    </row>
    <row r="8" spans="1:3" x14ac:dyDescent="0.3">
      <c r="A8" t="s">
        <v>19</v>
      </c>
      <c r="B8" t="s">
        <v>16</v>
      </c>
      <c r="C8" t="s">
        <v>20</v>
      </c>
    </row>
    <row r="9" spans="1:3" x14ac:dyDescent="0.3">
      <c r="A9" t="s">
        <v>77</v>
      </c>
      <c r="B9" t="s">
        <v>94</v>
      </c>
    </row>
    <row r="10" spans="1:3" x14ac:dyDescent="0.3">
      <c r="A10" t="s">
        <v>79</v>
      </c>
      <c r="B10" t="s">
        <v>16</v>
      </c>
      <c r="C10" t="s">
        <v>95</v>
      </c>
    </row>
    <row r="11" spans="1:3" x14ac:dyDescent="0.3">
      <c r="A11" t="s">
        <v>78</v>
      </c>
      <c r="B11" t="s">
        <v>93</v>
      </c>
    </row>
    <row r="12" spans="1:3" x14ac:dyDescent="0.3">
      <c r="A12" t="s">
        <v>74</v>
      </c>
      <c r="B12" t="s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20ABE-368A-49A8-812D-3F7003772393}">
  <dimension ref="A1:K15"/>
  <sheetViews>
    <sheetView workbookViewId="0">
      <selection activeCell="A6" sqref="A6"/>
    </sheetView>
  </sheetViews>
  <sheetFormatPr defaultRowHeight="14.4" x14ac:dyDescent="0.3"/>
  <cols>
    <col min="1" max="11" width="14" customWidth="1"/>
  </cols>
  <sheetData>
    <row r="1" spans="1:11" ht="28.8" x14ac:dyDescent="0.3">
      <c r="A1" s="1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72</v>
      </c>
      <c r="K1" s="3" t="s">
        <v>73</v>
      </c>
    </row>
    <row r="2" spans="1:11" x14ac:dyDescent="0.3">
      <c r="A2" t="s">
        <v>44</v>
      </c>
      <c r="B2" t="s">
        <v>96</v>
      </c>
      <c r="C2">
        <v>316</v>
      </c>
      <c r="D2">
        <v>99.8</v>
      </c>
      <c r="E2">
        <v>1.9</v>
      </c>
      <c r="F2">
        <v>39.9</v>
      </c>
      <c r="G2">
        <v>6385</v>
      </c>
      <c r="H2">
        <v>1</v>
      </c>
      <c r="I2">
        <v>6385</v>
      </c>
      <c r="J2">
        <v>6385</v>
      </c>
      <c r="K2">
        <v>5431</v>
      </c>
    </row>
    <row r="3" spans="1:11" x14ac:dyDescent="0.3">
      <c r="A3" t="s">
        <v>28</v>
      </c>
      <c r="B3" t="s">
        <v>84</v>
      </c>
      <c r="C3">
        <v>659</v>
      </c>
      <c r="D3">
        <v>99.9</v>
      </c>
      <c r="E3">
        <v>0.2</v>
      </c>
      <c r="F3">
        <v>67.400000000000006</v>
      </c>
      <c r="G3">
        <v>4606</v>
      </c>
      <c r="H3">
        <v>1</v>
      </c>
      <c r="I3">
        <v>4606</v>
      </c>
      <c r="J3">
        <v>4606</v>
      </c>
      <c r="K3">
        <v>3981</v>
      </c>
    </row>
    <row r="4" spans="1:11" x14ac:dyDescent="0.3">
      <c r="A4" t="s">
        <v>25</v>
      </c>
      <c r="B4" t="s">
        <v>88</v>
      </c>
      <c r="C4">
        <v>813</v>
      </c>
      <c r="D4">
        <v>100</v>
      </c>
      <c r="E4">
        <v>0.3</v>
      </c>
      <c r="F4">
        <v>62.9</v>
      </c>
      <c r="G4">
        <v>6999</v>
      </c>
      <c r="H4">
        <v>1</v>
      </c>
      <c r="I4">
        <v>6999</v>
      </c>
      <c r="J4">
        <v>6999</v>
      </c>
      <c r="K4">
        <v>6211</v>
      </c>
    </row>
    <row r="5" spans="1:11" x14ac:dyDescent="0.3">
      <c r="A5" t="s">
        <v>31</v>
      </c>
      <c r="B5" t="s">
        <v>88</v>
      </c>
      <c r="C5">
        <v>813</v>
      </c>
      <c r="D5">
        <v>100</v>
      </c>
      <c r="E5">
        <v>0.7</v>
      </c>
      <c r="F5">
        <v>59.5</v>
      </c>
      <c r="G5">
        <v>7046</v>
      </c>
      <c r="H5">
        <v>3</v>
      </c>
      <c r="I5">
        <v>5255</v>
      </c>
      <c r="J5">
        <v>2349</v>
      </c>
      <c r="K5">
        <v>6311</v>
      </c>
    </row>
    <row r="6" spans="1:11" x14ac:dyDescent="0.3">
      <c r="A6" t="s">
        <v>9</v>
      </c>
      <c r="B6" t="s">
        <v>88</v>
      </c>
      <c r="C6">
        <v>813</v>
      </c>
      <c r="D6">
        <v>100</v>
      </c>
      <c r="E6">
        <v>1.1000000000000001</v>
      </c>
      <c r="F6">
        <v>58.6</v>
      </c>
      <c r="G6">
        <v>8073</v>
      </c>
      <c r="H6">
        <v>6</v>
      </c>
      <c r="I6">
        <v>6667</v>
      </c>
      <c r="J6">
        <v>1345</v>
      </c>
      <c r="K6">
        <v>7580</v>
      </c>
    </row>
    <row r="7" spans="1:11" x14ac:dyDescent="0.3">
      <c r="A7" t="s">
        <v>21</v>
      </c>
      <c r="B7" t="s">
        <v>88</v>
      </c>
      <c r="C7">
        <v>813</v>
      </c>
      <c r="D7">
        <v>100</v>
      </c>
      <c r="E7">
        <v>1.1000000000000001</v>
      </c>
      <c r="F7">
        <v>60.6</v>
      </c>
      <c r="G7">
        <v>7003</v>
      </c>
      <c r="H7">
        <v>1</v>
      </c>
      <c r="I7">
        <v>7003</v>
      </c>
      <c r="J7">
        <v>7003</v>
      </c>
      <c r="K7">
        <v>6259</v>
      </c>
    </row>
    <row r="8" spans="1:11" x14ac:dyDescent="0.3">
      <c r="A8" t="s">
        <v>14</v>
      </c>
      <c r="B8" t="s">
        <v>88</v>
      </c>
      <c r="C8">
        <v>813</v>
      </c>
      <c r="D8">
        <v>100</v>
      </c>
      <c r="E8">
        <v>1.4</v>
      </c>
      <c r="F8">
        <v>58.7</v>
      </c>
      <c r="G8">
        <v>7025</v>
      </c>
      <c r="H8">
        <v>5</v>
      </c>
      <c r="I8">
        <v>6966</v>
      </c>
      <c r="J8">
        <v>1405</v>
      </c>
      <c r="K8">
        <v>6306</v>
      </c>
    </row>
    <row r="9" spans="1:11" x14ac:dyDescent="0.3">
      <c r="A9" t="s">
        <v>57</v>
      </c>
      <c r="B9" t="s">
        <v>88</v>
      </c>
      <c r="C9">
        <v>813</v>
      </c>
      <c r="D9">
        <v>100</v>
      </c>
      <c r="E9">
        <v>0.8</v>
      </c>
      <c r="F9">
        <v>59.1</v>
      </c>
      <c r="G9">
        <v>6648</v>
      </c>
      <c r="H9">
        <v>1</v>
      </c>
      <c r="I9">
        <v>6648</v>
      </c>
      <c r="J9">
        <v>6648</v>
      </c>
      <c r="K9">
        <v>5854</v>
      </c>
    </row>
    <row r="10" spans="1:11" x14ac:dyDescent="0.3">
      <c r="A10" t="s">
        <v>54</v>
      </c>
      <c r="B10" t="s">
        <v>84</v>
      </c>
      <c r="C10">
        <v>659</v>
      </c>
      <c r="D10">
        <v>100</v>
      </c>
      <c r="E10">
        <v>0</v>
      </c>
      <c r="F10">
        <v>66.2</v>
      </c>
      <c r="G10">
        <v>4481</v>
      </c>
      <c r="H10">
        <v>1</v>
      </c>
      <c r="I10">
        <v>4481</v>
      </c>
      <c r="J10">
        <v>4481</v>
      </c>
      <c r="K10">
        <v>3972</v>
      </c>
    </row>
    <row r="11" spans="1:11" x14ac:dyDescent="0.3">
      <c r="A11" t="s">
        <v>47</v>
      </c>
      <c r="B11" t="s">
        <v>96</v>
      </c>
      <c r="C11">
        <v>316</v>
      </c>
      <c r="D11">
        <v>100</v>
      </c>
      <c r="E11">
        <v>1.9</v>
      </c>
      <c r="F11">
        <v>36.4</v>
      </c>
      <c r="G11">
        <v>5381</v>
      </c>
      <c r="H11">
        <v>1</v>
      </c>
      <c r="I11">
        <v>5381</v>
      </c>
      <c r="J11">
        <v>5381</v>
      </c>
      <c r="K11">
        <v>4545</v>
      </c>
    </row>
    <row r="12" spans="1:11" x14ac:dyDescent="0.3">
      <c r="A12" t="s">
        <v>60</v>
      </c>
      <c r="B12" t="s">
        <v>97</v>
      </c>
      <c r="C12">
        <v>546</v>
      </c>
      <c r="D12">
        <v>100</v>
      </c>
      <c r="E12">
        <v>0.4</v>
      </c>
      <c r="F12">
        <v>52.3</v>
      </c>
      <c r="G12">
        <v>5464</v>
      </c>
      <c r="H12">
        <v>2</v>
      </c>
      <c r="I12">
        <v>4862</v>
      </c>
      <c r="J12">
        <v>2732</v>
      </c>
      <c r="K12">
        <v>4965</v>
      </c>
    </row>
    <row r="13" spans="1:11" x14ac:dyDescent="0.3">
      <c r="A13" t="s">
        <v>51</v>
      </c>
      <c r="B13" t="s">
        <v>85</v>
      </c>
      <c r="C13">
        <v>427</v>
      </c>
      <c r="D13">
        <v>100</v>
      </c>
      <c r="E13">
        <v>0.7</v>
      </c>
      <c r="F13">
        <v>68.400000000000006</v>
      </c>
      <c r="G13">
        <v>6715</v>
      </c>
      <c r="H13">
        <v>1</v>
      </c>
      <c r="I13">
        <v>6715</v>
      </c>
      <c r="J13">
        <v>6715</v>
      </c>
      <c r="K13">
        <v>6117</v>
      </c>
    </row>
    <row r="14" spans="1:11" x14ac:dyDescent="0.3">
      <c r="A14" t="s">
        <v>34</v>
      </c>
      <c r="B14" t="s">
        <v>88</v>
      </c>
      <c r="C14">
        <v>813</v>
      </c>
      <c r="D14">
        <v>100</v>
      </c>
      <c r="E14">
        <v>0.8</v>
      </c>
      <c r="F14">
        <v>59.1</v>
      </c>
      <c r="G14">
        <v>6973</v>
      </c>
      <c r="H14">
        <v>1</v>
      </c>
      <c r="I14">
        <v>6973</v>
      </c>
      <c r="J14">
        <v>6973</v>
      </c>
      <c r="K14">
        <v>6245</v>
      </c>
    </row>
    <row r="15" spans="1:11" x14ac:dyDescent="0.3">
      <c r="A15" t="s">
        <v>41</v>
      </c>
      <c r="B15" t="s">
        <v>88</v>
      </c>
      <c r="C15">
        <v>813</v>
      </c>
      <c r="D15">
        <v>100</v>
      </c>
      <c r="E15">
        <v>0.8</v>
      </c>
      <c r="F15">
        <v>60.3</v>
      </c>
      <c r="G15">
        <v>7907</v>
      </c>
      <c r="H15">
        <v>3</v>
      </c>
      <c r="I15">
        <v>7884</v>
      </c>
      <c r="J15">
        <v>2636</v>
      </c>
      <c r="K15">
        <v>7246</v>
      </c>
    </row>
  </sheetData>
  <autoFilter ref="B1:K1" xr:uid="{43220ABE-368A-49A8-812D-3F7003772393}">
    <sortState xmlns:xlrd2="http://schemas.microsoft.com/office/spreadsheetml/2017/richdata2" ref="B2:K15">
      <sortCondition ref="D1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9BA7-9EF9-463C-98FC-C2EB3005C335}">
  <dimension ref="A1:C15"/>
  <sheetViews>
    <sheetView workbookViewId="0">
      <selection activeCell="A8" sqref="A8"/>
    </sheetView>
  </sheetViews>
  <sheetFormatPr defaultRowHeight="14.4" x14ac:dyDescent="0.3"/>
  <sheetData>
    <row r="1" spans="1:3" x14ac:dyDescent="0.3">
      <c r="A1" s="1" t="s">
        <v>89</v>
      </c>
      <c r="B1" s="1" t="s">
        <v>90</v>
      </c>
      <c r="C1" s="1" t="s">
        <v>91</v>
      </c>
    </row>
    <row r="2" spans="1:3" x14ac:dyDescent="0.3">
      <c r="A2" t="s">
        <v>47</v>
      </c>
      <c r="B2" t="s">
        <v>16</v>
      </c>
      <c r="C2" t="s">
        <v>49</v>
      </c>
    </row>
    <row r="3" spans="1:3" x14ac:dyDescent="0.3">
      <c r="A3" t="s">
        <v>51</v>
      </c>
      <c r="B3" t="s">
        <v>16</v>
      </c>
      <c r="C3" t="s">
        <v>53</v>
      </c>
    </row>
    <row r="4" spans="1:3" x14ac:dyDescent="0.3">
      <c r="A4" t="s">
        <v>9</v>
      </c>
      <c r="B4" t="s">
        <v>11</v>
      </c>
      <c r="C4" t="s">
        <v>12</v>
      </c>
    </row>
    <row r="5" spans="1:3" x14ac:dyDescent="0.3">
      <c r="A5" t="s">
        <v>21</v>
      </c>
      <c r="B5" t="s">
        <v>16</v>
      </c>
      <c r="C5" t="s">
        <v>23</v>
      </c>
    </row>
    <row r="6" spans="1:3" x14ac:dyDescent="0.3">
      <c r="A6" t="s">
        <v>60</v>
      </c>
      <c r="B6" t="s">
        <v>16</v>
      </c>
      <c r="C6" t="s">
        <v>62</v>
      </c>
    </row>
    <row r="7" spans="1:3" x14ac:dyDescent="0.3">
      <c r="A7" t="s">
        <v>54</v>
      </c>
      <c r="B7" t="s">
        <v>16</v>
      </c>
      <c r="C7" t="s">
        <v>56</v>
      </c>
    </row>
    <row r="8" spans="1:3" x14ac:dyDescent="0.3">
      <c r="A8" t="s">
        <v>28</v>
      </c>
      <c r="B8" t="s">
        <v>16</v>
      </c>
      <c r="C8" t="s">
        <v>30</v>
      </c>
    </row>
    <row r="9" spans="1:3" x14ac:dyDescent="0.3">
      <c r="A9" t="s">
        <v>41</v>
      </c>
      <c r="B9" t="s">
        <v>16</v>
      </c>
      <c r="C9" t="s">
        <v>43</v>
      </c>
    </row>
    <row r="10" spans="1:3" x14ac:dyDescent="0.3">
      <c r="A10" t="s">
        <v>57</v>
      </c>
      <c r="B10" t="s">
        <v>16</v>
      </c>
      <c r="C10" t="s">
        <v>59</v>
      </c>
    </row>
    <row r="11" spans="1:3" x14ac:dyDescent="0.3">
      <c r="A11" t="s">
        <v>25</v>
      </c>
      <c r="B11" t="s">
        <v>16</v>
      </c>
      <c r="C11" t="s">
        <v>27</v>
      </c>
    </row>
    <row r="12" spans="1:3" x14ac:dyDescent="0.3">
      <c r="A12" t="s">
        <v>31</v>
      </c>
      <c r="B12" t="s">
        <v>16</v>
      </c>
      <c r="C12" t="s">
        <v>33</v>
      </c>
    </row>
    <row r="13" spans="1:3" x14ac:dyDescent="0.3">
      <c r="A13" t="s">
        <v>14</v>
      </c>
      <c r="B13" t="s">
        <v>16</v>
      </c>
      <c r="C13" t="s">
        <v>17</v>
      </c>
    </row>
    <row r="14" spans="1:3" x14ac:dyDescent="0.3">
      <c r="A14" t="s">
        <v>44</v>
      </c>
      <c r="B14" t="s">
        <v>16</v>
      </c>
      <c r="C14" t="s">
        <v>46</v>
      </c>
    </row>
    <row r="15" spans="1:3" x14ac:dyDescent="0.3">
      <c r="A15" t="s">
        <v>34</v>
      </c>
      <c r="B15" t="s">
        <v>16</v>
      </c>
      <c r="C15" t="s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C5DA8-7C63-42F6-9544-8E7AB3472A50}">
  <dimension ref="A1:C6"/>
  <sheetViews>
    <sheetView workbookViewId="0">
      <selection activeCell="F23" sqref="F23"/>
    </sheetView>
  </sheetViews>
  <sheetFormatPr defaultRowHeight="14.4" x14ac:dyDescent="0.3"/>
  <cols>
    <col min="1" max="1" width="24.44140625" customWidth="1"/>
    <col min="2" max="2" width="17.33203125" customWidth="1"/>
  </cols>
  <sheetData>
    <row r="1" spans="1:3" x14ac:dyDescent="0.3">
      <c r="A1" t="s">
        <v>98</v>
      </c>
      <c r="B1" t="s">
        <v>99</v>
      </c>
      <c r="C1" t="s">
        <v>100</v>
      </c>
    </row>
    <row r="2" spans="1:3" x14ac:dyDescent="0.3">
      <c r="A2" t="s">
        <v>101</v>
      </c>
      <c r="B2" s="4">
        <v>87.1479827076692</v>
      </c>
      <c r="C2" s="4">
        <v>0.72895420629131102</v>
      </c>
    </row>
    <row r="3" spans="1:3" x14ac:dyDescent="0.3">
      <c r="A3" t="s">
        <v>102</v>
      </c>
      <c r="B3" s="4">
        <v>1.7607943160302399</v>
      </c>
      <c r="C3" s="4">
        <v>7.6294596491226802E-2</v>
      </c>
    </row>
    <row r="4" spans="1:3" x14ac:dyDescent="0.3">
      <c r="A4" t="s">
        <v>103</v>
      </c>
      <c r="B4" s="4">
        <v>2.58017244364135</v>
      </c>
      <c r="C4" s="4">
        <v>0.24470305721490401</v>
      </c>
    </row>
    <row r="5" spans="1:3" x14ac:dyDescent="0.3">
      <c r="A5" t="s">
        <v>104</v>
      </c>
      <c r="B5" s="4">
        <v>2.17592983168504</v>
      </c>
      <c r="C5" s="4">
        <v>0.25931815335508801</v>
      </c>
    </row>
    <row r="6" spans="1:3" x14ac:dyDescent="0.3">
      <c r="A6" t="s">
        <v>105</v>
      </c>
      <c r="B6" s="4">
        <v>6.3351207009741097</v>
      </c>
      <c r="C6" s="4">
        <v>0.81998175797089001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B6B21-D4FB-4200-8C87-30FFAFFAB789}">
  <dimension ref="A1:E18"/>
  <sheetViews>
    <sheetView zoomScale="55" zoomScaleNormal="55" workbookViewId="0">
      <selection activeCell="B24" sqref="B24"/>
    </sheetView>
  </sheetViews>
  <sheetFormatPr defaultRowHeight="14.4" x14ac:dyDescent="0.3"/>
  <cols>
    <col min="1" max="1" width="27.44140625" customWidth="1"/>
    <col min="2" max="5" width="31.88671875" customWidth="1"/>
  </cols>
  <sheetData>
    <row r="1" spans="1:5" x14ac:dyDescent="0.3">
      <c r="A1" s="1" t="s">
        <v>89</v>
      </c>
      <c r="B1" s="1" t="s">
        <v>106</v>
      </c>
      <c r="C1" s="1" t="s">
        <v>107</v>
      </c>
      <c r="D1" s="1" t="s">
        <v>108</v>
      </c>
      <c r="E1" s="1" t="s">
        <v>109</v>
      </c>
    </row>
    <row r="2" spans="1:5" x14ac:dyDescent="0.3">
      <c r="A2" s="1" t="s">
        <v>60</v>
      </c>
      <c r="B2">
        <v>2.544271530591443E-3</v>
      </c>
      <c r="C2">
        <v>3.0373993770861948E-3</v>
      </c>
      <c r="D2">
        <v>3.4544235805420388E-3</v>
      </c>
      <c r="E2">
        <v>3.0198819490029742E-3</v>
      </c>
    </row>
    <row r="3" spans="1:5" x14ac:dyDescent="0.3">
      <c r="A3" s="1" t="s">
        <v>54</v>
      </c>
      <c r="B3">
        <v>3.1850387334552699E-3</v>
      </c>
      <c r="C3">
        <v>3.7309720128262691E-3</v>
      </c>
      <c r="D3">
        <v>4.3940847356149174E-3</v>
      </c>
      <c r="E3">
        <v>3.6840086032380289E-3</v>
      </c>
    </row>
    <row r="4" spans="1:5" x14ac:dyDescent="0.3">
      <c r="A4" s="1" t="s">
        <v>57</v>
      </c>
      <c r="B4">
        <v>5.169780709687123E-3</v>
      </c>
      <c r="C4">
        <v>5.0208106246844436E-3</v>
      </c>
      <c r="D4">
        <v>3.7079616287621531E-3</v>
      </c>
      <c r="E4">
        <v>8.7402836010516283E-3</v>
      </c>
    </row>
    <row r="5" spans="1:5" x14ac:dyDescent="0.3">
      <c r="A5" s="1" t="s">
        <v>51</v>
      </c>
      <c r="B5">
        <v>5.1519189375684119E-3</v>
      </c>
      <c r="C5">
        <v>6.5575262471098631E-3</v>
      </c>
      <c r="D5">
        <v>6.4087747037655787E-3</v>
      </c>
      <c r="E5">
        <v>9.1922184807940698E-3</v>
      </c>
    </row>
    <row r="6" spans="1:5" x14ac:dyDescent="0.3">
      <c r="A6" s="1" t="s">
        <v>47</v>
      </c>
      <c r="B6">
        <v>2.4101419474234932E-2</v>
      </c>
      <c r="C6">
        <v>1.550564299548671E-2</v>
      </c>
      <c r="D6">
        <v>9.1845908285827192E-3</v>
      </c>
      <c r="E6">
        <v>1.9488021481308199E-2</v>
      </c>
    </row>
    <row r="7" spans="1:5" x14ac:dyDescent="0.3">
      <c r="A7" s="1" t="s">
        <v>34</v>
      </c>
      <c r="B7">
        <v>2.96162237682722E-2</v>
      </c>
      <c r="C7">
        <v>2.893674534631089E-2</v>
      </c>
      <c r="D7">
        <v>6.5809857838337857E-2</v>
      </c>
      <c r="E7">
        <v>3.4194739782232891E-2</v>
      </c>
    </row>
    <row r="8" spans="1:5" x14ac:dyDescent="0.3">
      <c r="A8" s="1" t="s">
        <v>44</v>
      </c>
      <c r="B8">
        <v>3.6001544198398523E-2</v>
      </c>
      <c r="C8">
        <v>3.1513412961763368E-2</v>
      </c>
      <c r="D8">
        <v>3.3429100319004083E-2</v>
      </c>
      <c r="E8">
        <v>3.0575034607560659E-2</v>
      </c>
    </row>
    <row r="9" spans="1:5" x14ac:dyDescent="0.3">
      <c r="A9" s="1" t="s">
        <v>41</v>
      </c>
      <c r="B9">
        <v>3.613692618637368E-2</v>
      </c>
      <c r="C9">
        <v>3.6394387452929881E-2</v>
      </c>
      <c r="D9">
        <v>3.8763093095586343E-2</v>
      </c>
      <c r="E9">
        <v>4.0074585700389138E-2</v>
      </c>
    </row>
    <row r="10" spans="1:5" x14ac:dyDescent="0.3">
      <c r="A10" s="1" t="s">
        <v>31</v>
      </c>
      <c r="B10">
        <v>6.9198801140613775E-2</v>
      </c>
      <c r="C10">
        <v>6.2709078565769905E-2</v>
      </c>
      <c r="D10">
        <v>8.0404780958066357E-2</v>
      </c>
      <c r="E10">
        <v>5.8153782457818777E-2</v>
      </c>
    </row>
    <row r="11" spans="1:5" x14ac:dyDescent="0.3">
      <c r="A11" s="1" t="s">
        <v>28</v>
      </c>
      <c r="B11">
        <v>6.7858693098131237E-2</v>
      </c>
      <c r="C11">
        <v>6.456479488546335E-2</v>
      </c>
      <c r="D11">
        <v>9.5678649838981125E-2</v>
      </c>
      <c r="E11">
        <v>5.876613003942225E-2</v>
      </c>
    </row>
    <row r="12" spans="1:5" x14ac:dyDescent="0.3">
      <c r="A12" s="1" t="s">
        <v>25</v>
      </c>
      <c r="B12">
        <v>0.14528554746664149</v>
      </c>
      <c r="C12">
        <v>0.13327034408455471</v>
      </c>
      <c r="D12">
        <v>0.1589116590908306</v>
      </c>
      <c r="E12">
        <v>0.12724532561288679</v>
      </c>
    </row>
    <row r="13" spans="1:5" x14ac:dyDescent="0.3">
      <c r="A13" s="1" t="s">
        <v>37</v>
      </c>
      <c r="B13">
        <v>0.14143509046691299</v>
      </c>
      <c r="C13">
        <v>0.15856911636466731</v>
      </c>
      <c r="D13">
        <v>5.0635037691490699E-2</v>
      </c>
      <c r="E13">
        <v>0.14810655055985311</v>
      </c>
    </row>
    <row r="14" spans="1:5" x14ac:dyDescent="0.3">
      <c r="A14" s="1" t="s">
        <v>39</v>
      </c>
      <c r="B14">
        <v>0.74068002137031674</v>
      </c>
      <c r="C14">
        <v>0.1621215162260834</v>
      </c>
      <c r="D14">
        <v>4.8040849620975427E-2</v>
      </c>
      <c r="E14">
        <v>0.20611133138682811</v>
      </c>
    </row>
    <row r="15" spans="1:5" x14ac:dyDescent="0.3">
      <c r="A15" s="1" t="s">
        <v>21</v>
      </c>
      <c r="B15">
        <v>0.20839824038817761</v>
      </c>
      <c r="C15">
        <v>0.18261429945465121</v>
      </c>
      <c r="D15">
        <v>0.17701345693203141</v>
      </c>
      <c r="E15">
        <v>0.1790601781977349</v>
      </c>
    </row>
    <row r="16" spans="1:5" x14ac:dyDescent="0.3">
      <c r="A16" s="1" t="s">
        <v>19</v>
      </c>
      <c r="B16">
        <v>0.34060297733501382</v>
      </c>
      <c r="C16">
        <v>0.4997784065211392</v>
      </c>
      <c r="D16">
        <v>0.32381619126896161</v>
      </c>
      <c r="E16">
        <v>1.2948589785911331</v>
      </c>
    </row>
    <row r="17" spans="1:5" x14ac:dyDescent="0.3">
      <c r="A17" s="1" t="s">
        <v>14</v>
      </c>
      <c r="B17">
        <v>0.76475711725831652</v>
      </c>
      <c r="C17">
        <v>0.51280915351701817</v>
      </c>
      <c r="D17">
        <v>0.35459369442845429</v>
      </c>
      <c r="E17">
        <v>0.43377831807593858</v>
      </c>
    </row>
    <row r="18" spans="1:5" x14ac:dyDescent="0.3">
      <c r="A18" s="1" t="s">
        <v>9</v>
      </c>
      <c r="B18">
        <v>97.379876387937315</v>
      </c>
      <c r="C18">
        <v>98.092866393362442</v>
      </c>
      <c r="D18">
        <v>98.545753793440028</v>
      </c>
      <c r="E18">
        <v>97.34495063087283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2019-1BDC-48D1-B44E-E4E221BE2709}">
  <dimension ref="A1:AP10"/>
  <sheetViews>
    <sheetView topLeftCell="H1" workbookViewId="0">
      <selection activeCell="W2" sqref="W2:W10"/>
    </sheetView>
  </sheetViews>
  <sheetFormatPr defaultRowHeight="14.4" x14ac:dyDescent="0.3"/>
  <sheetData>
    <row r="1" spans="1:42" x14ac:dyDescent="0.3"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</row>
    <row r="2" spans="1:42" x14ac:dyDescent="0.3">
      <c r="A2" s="1">
        <v>0</v>
      </c>
      <c r="B2" t="s">
        <v>83</v>
      </c>
      <c r="C2">
        <v>56</v>
      </c>
      <c r="D2">
        <v>56</v>
      </c>
      <c r="E2">
        <v>54</v>
      </c>
      <c r="F2">
        <v>48</v>
      </c>
      <c r="G2">
        <v>32</v>
      </c>
      <c r="H2">
        <v>17</v>
      </c>
      <c r="I2">
        <v>2746675</v>
      </c>
      <c r="J2">
        <v>2746675</v>
      </c>
      <c r="K2">
        <v>2741580</v>
      </c>
      <c r="L2">
        <v>2694293</v>
      </c>
      <c r="M2">
        <v>2443670</v>
      </c>
      <c r="N2">
        <v>1919630</v>
      </c>
      <c r="O2">
        <v>56</v>
      </c>
      <c r="P2">
        <v>303281</v>
      </c>
      <c r="Q2">
        <v>2746675</v>
      </c>
      <c r="R2">
        <v>90704758</v>
      </c>
      <c r="S2">
        <v>82227</v>
      </c>
      <c r="T2">
        <v>38474</v>
      </c>
      <c r="U2">
        <v>10</v>
      </c>
      <c r="V2">
        <v>21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t="s">
        <v>151</v>
      </c>
      <c r="AE2">
        <v>2746586</v>
      </c>
      <c r="AF2">
        <v>0</v>
      </c>
      <c r="AG2">
        <v>1</v>
      </c>
      <c r="AH2">
        <v>0</v>
      </c>
      <c r="AI2">
        <v>4494.38</v>
      </c>
      <c r="AJ2">
        <v>0</v>
      </c>
      <c r="AK2">
        <v>89</v>
      </c>
      <c r="AL2">
        <v>89</v>
      </c>
      <c r="AM2" t="s">
        <v>18</v>
      </c>
      <c r="AN2" t="s">
        <v>18</v>
      </c>
      <c r="AO2" t="s">
        <v>18</v>
      </c>
      <c r="AP2" t="s">
        <v>18</v>
      </c>
    </row>
    <row r="3" spans="1:42" x14ac:dyDescent="0.3">
      <c r="A3" s="1">
        <v>1</v>
      </c>
      <c r="B3" t="s">
        <v>87</v>
      </c>
      <c r="C3">
        <v>175</v>
      </c>
      <c r="D3">
        <v>175</v>
      </c>
      <c r="E3">
        <v>149</v>
      </c>
      <c r="F3">
        <v>120</v>
      </c>
      <c r="G3">
        <v>65</v>
      </c>
      <c r="H3">
        <v>17</v>
      </c>
      <c r="I3">
        <v>4426857</v>
      </c>
      <c r="J3">
        <v>4426857</v>
      </c>
      <c r="K3">
        <v>4342112</v>
      </c>
      <c r="L3">
        <v>4113319</v>
      </c>
      <c r="M3">
        <v>3181357</v>
      </c>
      <c r="N3">
        <v>1484636</v>
      </c>
      <c r="O3">
        <v>175</v>
      </c>
      <c r="P3">
        <v>181228</v>
      </c>
      <c r="Q3">
        <v>4426857</v>
      </c>
      <c r="R3">
        <v>90704758</v>
      </c>
      <c r="S3">
        <v>36829</v>
      </c>
      <c r="T3">
        <v>21756</v>
      </c>
      <c r="U3">
        <v>35</v>
      </c>
      <c r="V3">
        <v>72</v>
      </c>
      <c r="W3">
        <v>9</v>
      </c>
      <c r="X3">
        <v>8</v>
      </c>
      <c r="Y3">
        <v>427578</v>
      </c>
      <c r="Z3">
        <v>1</v>
      </c>
      <c r="AA3">
        <v>0</v>
      </c>
      <c r="AB3">
        <v>0</v>
      </c>
      <c r="AC3">
        <v>0</v>
      </c>
      <c r="AD3" t="s">
        <v>152</v>
      </c>
      <c r="AE3">
        <v>3655</v>
      </c>
      <c r="AF3">
        <v>4.8710000000000004</v>
      </c>
      <c r="AG3">
        <v>1.0009999999999999</v>
      </c>
      <c r="AH3">
        <v>0</v>
      </c>
      <c r="AI3">
        <v>3.55</v>
      </c>
      <c r="AJ3">
        <v>0.43</v>
      </c>
      <c r="AK3">
        <v>156995</v>
      </c>
      <c r="AL3">
        <v>4420521</v>
      </c>
      <c r="AM3" t="s">
        <v>153</v>
      </c>
      <c r="AN3" t="s">
        <v>154</v>
      </c>
      <c r="AO3" t="s">
        <v>155</v>
      </c>
      <c r="AP3" t="s">
        <v>156</v>
      </c>
    </row>
    <row r="4" spans="1:42" x14ac:dyDescent="0.3">
      <c r="A4" s="1">
        <v>2</v>
      </c>
      <c r="B4" t="s">
        <v>39</v>
      </c>
      <c r="C4">
        <v>423</v>
      </c>
      <c r="D4">
        <v>423</v>
      </c>
      <c r="E4">
        <v>20</v>
      </c>
      <c r="F4">
        <v>7</v>
      </c>
      <c r="G4">
        <v>2</v>
      </c>
      <c r="H4">
        <v>0</v>
      </c>
      <c r="I4">
        <v>1107920</v>
      </c>
      <c r="J4">
        <v>1107920</v>
      </c>
      <c r="K4">
        <v>249054</v>
      </c>
      <c r="L4">
        <v>154812</v>
      </c>
      <c r="M4">
        <v>81657</v>
      </c>
      <c r="N4">
        <v>0</v>
      </c>
      <c r="O4">
        <v>423</v>
      </c>
      <c r="P4">
        <v>43671</v>
      </c>
      <c r="Q4">
        <v>1107920</v>
      </c>
      <c r="R4">
        <v>90704758</v>
      </c>
      <c r="S4">
        <v>2358</v>
      </c>
      <c r="T4">
        <v>1805</v>
      </c>
      <c r="U4">
        <v>120</v>
      </c>
      <c r="V4">
        <v>256</v>
      </c>
      <c r="W4">
        <v>3</v>
      </c>
      <c r="X4">
        <v>3</v>
      </c>
      <c r="Y4">
        <v>48262</v>
      </c>
      <c r="Z4">
        <v>3</v>
      </c>
      <c r="AA4">
        <v>0</v>
      </c>
      <c r="AB4">
        <v>0</v>
      </c>
      <c r="AC4">
        <v>9</v>
      </c>
      <c r="AD4" t="s">
        <v>157</v>
      </c>
      <c r="AE4">
        <v>1009759</v>
      </c>
      <c r="AF4">
        <v>0.111</v>
      </c>
      <c r="AG4">
        <v>1.006</v>
      </c>
      <c r="AH4">
        <v>0</v>
      </c>
      <c r="AI4">
        <v>973.34</v>
      </c>
      <c r="AJ4">
        <v>16.899999999999999</v>
      </c>
      <c r="AK4">
        <v>33467</v>
      </c>
      <c r="AL4">
        <v>97677</v>
      </c>
      <c r="AM4" t="s">
        <v>18</v>
      </c>
      <c r="AN4" t="s">
        <v>18</v>
      </c>
      <c r="AO4" t="s">
        <v>18</v>
      </c>
      <c r="AP4" t="s">
        <v>18</v>
      </c>
    </row>
    <row r="5" spans="1:42" x14ac:dyDescent="0.3">
      <c r="A5" s="1">
        <v>3</v>
      </c>
      <c r="B5" t="s">
        <v>76</v>
      </c>
      <c r="C5">
        <v>1115</v>
      </c>
      <c r="D5">
        <v>1115</v>
      </c>
      <c r="E5">
        <v>487</v>
      </c>
      <c r="F5">
        <v>173</v>
      </c>
      <c r="G5">
        <v>8</v>
      </c>
      <c r="H5">
        <v>0</v>
      </c>
      <c r="I5">
        <v>6743221</v>
      </c>
      <c r="J5">
        <v>6743221</v>
      </c>
      <c r="K5">
        <v>4799947</v>
      </c>
      <c r="L5">
        <v>2576458</v>
      </c>
      <c r="M5">
        <v>234954</v>
      </c>
      <c r="N5">
        <v>0</v>
      </c>
      <c r="O5">
        <v>1115</v>
      </c>
      <c r="P5">
        <v>37612</v>
      </c>
      <c r="Q5">
        <v>6743221</v>
      </c>
      <c r="R5">
        <v>90704758</v>
      </c>
      <c r="S5">
        <v>7895</v>
      </c>
      <c r="T5">
        <v>4661</v>
      </c>
      <c r="U5">
        <v>263</v>
      </c>
      <c r="V5">
        <v>541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 t="s">
        <v>158</v>
      </c>
      <c r="AE5">
        <v>6736776</v>
      </c>
      <c r="AF5">
        <v>8.0000000000000002E-3</v>
      </c>
      <c r="AG5">
        <v>1.0189999999999999</v>
      </c>
      <c r="AH5">
        <v>0</v>
      </c>
      <c r="AI5">
        <v>3761.71</v>
      </c>
      <c r="AJ5">
        <v>0</v>
      </c>
      <c r="AK5">
        <v>337</v>
      </c>
      <c r="AL5">
        <v>6445</v>
      </c>
      <c r="AM5" t="s">
        <v>18</v>
      </c>
      <c r="AN5" t="s">
        <v>18</v>
      </c>
      <c r="AO5" t="s">
        <v>18</v>
      </c>
      <c r="AP5" t="s">
        <v>18</v>
      </c>
    </row>
    <row r="6" spans="1:42" x14ac:dyDescent="0.3">
      <c r="A6" s="1">
        <v>4</v>
      </c>
      <c r="B6" t="s">
        <v>19</v>
      </c>
      <c r="C6">
        <v>20</v>
      </c>
      <c r="D6">
        <v>20</v>
      </c>
      <c r="E6">
        <v>16</v>
      </c>
      <c r="F6">
        <v>13</v>
      </c>
      <c r="G6">
        <v>9</v>
      </c>
      <c r="H6">
        <v>3</v>
      </c>
      <c r="I6">
        <v>574424</v>
      </c>
      <c r="J6">
        <v>574424</v>
      </c>
      <c r="K6">
        <v>563202</v>
      </c>
      <c r="L6">
        <v>544694</v>
      </c>
      <c r="M6">
        <v>470300</v>
      </c>
      <c r="N6">
        <v>251835</v>
      </c>
      <c r="O6">
        <v>20</v>
      </c>
      <c r="P6">
        <v>93508</v>
      </c>
      <c r="Q6">
        <v>574424</v>
      </c>
      <c r="R6">
        <v>90704758</v>
      </c>
      <c r="S6">
        <v>48356</v>
      </c>
      <c r="T6">
        <v>32783</v>
      </c>
      <c r="U6">
        <v>4</v>
      </c>
      <c r="V6">
        <v>8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 t="s">
        <v>159</v>
      </c>
      <c r="AE6">
        <v>537919</v>
      </c>
      <c r="AF6">
        <v>0.04</v>
      </c>
      <c r="AG6">
        <v>1.0009999999999999</v>
      </c>
      <c r="AH6">
        <v>0</v>
      </c>
      <c r="AI6">
        <v>3207.93</v>
      </c>
      <c r="AJ6">
        <v>158.35</v>
      </c>
      <c r="AK6">
        <v>26624</v>
      </c>
      <c r="AL6">
        <v>36505</v>
      </c>
      <c r="AM6" t="s">
        <v>18</v>
      </c>
      <c r="AN6" t="s">
        <v>18</v>
      </c>
      <c r="AO6" t="s">
        <v>18</v>
      </c>
      <c r="AP6" t="s">
        <v>18</v>
      </c>
    </row>
    <row r="7" spans="1:42" x14ac:dyDescent="0.3">
      <c r="A7" s="1">
        <v>5</v>
      </c>
      <c r="B7" t="s">
        <v>77</v>
      </c>
      <c r="C7">
        <v>65</v>
      </c>
      <c r="D7">
        <v>65</v>
      </c>
      <c r="E7">
        <v>57</v>
      </c>
      <c r="F7">
        <v>53</v>
      </c>
      <c r="G7">
        <v>41</v>
      </c>
      <c r="H7">
        <v>28</v>
      </c>
      <c r="I7">
        <v>5264982</v>
      </c>
      <c r="J7">
        <v>5264982</v>
      </c>
      <c r="K7">
        <v>5240456</v>
      </c>
      <c r="L7">
        <v>5211392</v>
      </c>
      <c r="M7">
        <v>4999917</v>
      </c>
      <c r="N7">
        <v>4523133</v>
      </c>
      <c r="O7">
        <v>65</v>
      </c>
      <c r="P7">
        <v>707256</v>
      </c>
      <c r="Q7">
        <v>5264982</v>
      </c>
      <c r="R7">
        <v>90704758</v>
      </c>
      <c r="S7">
        <v>151857</v>
      </c>
      <c r="T7">
        <v>96170</v>
      </c>
      <c r="U7">
        <v>9</v>
      </c>
      <c r="V7">
        <v>20</v>
      </c>
      <c r="W7">
        <v>1</v>
      </c>
      <c r="X7">
        <v>1</v>
      </c>
      <c r="Y7">
        <v>13092</v>
      </c>
      <c r="Z7">
        <v>0</v>
      </c>
      <c r="AA7">
        <v>0</v>
      </c>
      <c r="AB7">
        <v>0</v>
      </c>
      <c r="AC7">
        <v>20</v>
      </c>
      <c r="AD7" t="s">
        <v>160</v>
      </c>
      <c r="AE7">
        <v>5204106</v>
      </c>
      <c r="AF7">
        <v>6.7000000000000004E-2</v>
      </c>
      <c r="AG7">
        <v>1.0049999999999999</v>
      </c>
      <c r="AH7">
        <v>0</v>
      </c>
      <c r="AI7">
        <v>3265.85</v>
      </c>
      <c r="AJ7">
        <v>49.14</v>
      </c>
      <c r="AK7">
        <v>12056</v>
      </c>
      <c r="AL7">
        <v>60876</v>
      </c>
      <c r="AM7" t="s">
        <v>18</v>
      </c>
      <c r="AN7" t="s">
        <v>18</v>
      </c>
      <c r="AO7" t="s">
        <v>18</v>
      </c>
      <c r="AP7" t="s">
        <v>18</v>
      </c>
    </row>
    <row r="8" spans="1:42" x14ac:dyDescent="0.3">
      <c r="A8" s="1">
        <v>6</v>
      </c>
      <c r="B8" t="s">
        <v>79</v>
      </c>
      <c r="C8">
        <v>1064</v>
      </c>
      <c r="D8">
        <v>1064</v>
      </c>
      <c r="E8">
        <v>186</v>
      </c>
      <c r="F8">
        <v>22</v>
      </c>
      <c r="G8">
        <v>0</v>
      </c>
      <c r="H8">
        <v>0</v>
      </c>
      <c r="I8">
        <v>3775379</v>
      </c>
      <c r="J8">
        <v>3775379</v>
      </c>
      <c r="K8">
        <v>1354192</v>
      </c>
      <c r="L8">
        <v>274323</v>
      </c>
      <c r="M8">
        <v>0</v>
      </c>
      <c r="N8">
        <v>0</v>
      </c>
      <c r="O8">
        <v>1064</v>
      </c>
      <c r="P8">
        <v>14891</v>
      </c>
      <c r="Q8">
        <v>3775379</v>
      </c>
      <c r="R8">
        <v>90704758</v>
      </c>
      <c r="S8">
        <v>3975</v>
      </c>
      <c r="T8">
        <v>2704</v>
      </c>
      <c r="U8">
        <v>307</v>
      </c>
      <c r="V8">
        <v>599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60</v>
      </c>
      <c r="AD8" t="s">
        <v>161</v>
      </c>
      <c r="AE8">
        <v>3625361</v>
      </c>
      <c r="AF8">
        <v>0.185</v>
      </c>
      <c r="AG8">
        <v>1.02</v>
      </c>
      <c r="AH8">
        <v>0</v>
      </c>
      <c r="AI8">
        <v>3016.85</v>
      </c>
      <c r="AJ8">
        <v>65.64</v>
      </c>
      <c r="AK8">
        <v>7606</v>
      </c>
      <c r="AL8">
        <v>149450</v>
      </c>
      <c r="AM8" t="s">
        <v>18</v>
      </c>
      <c r="AN8" t="s">
        <v>18</v>
      </c>
      <c r="AO8" t="s">
        <v>18</v>
      </c>
      <c r="AP8" t="s">
        <v>18</v>
      </c>
    </row>
    <row r="9" spans="1:42" x14ac:dyDescent="0.3">
      <c r="A9" s="1">
        <v>7</v>
      </c>
      <c r="B9" t="s">
        <v>78</v>
      </c>
      <c r="C9">
        <v>141</v>
      </c>
      <c r="D9">
        <v>141</v>
      </c>
      <c r="E9">
        <v>132</v>
      </c>
      <c r="F9">
        <v>115</v>
      </c>
      <c r="G9">
        <v>77</v>
      </c>
      <c r="H9">
        <v>42</v>
      </c>
      <c r="I9">
        <v>5795691</v>
      </c>
      <c r="J9">
        <v>5795691</v>
      </c>
      <c r="K9">
        <v>5766080</v>
      </c>
      <c r="L9">
        <v>5638593</v>
      </c>
      <c r="M9">
        <v>5018069</v>
      </c>
      <c r="N9">
        <v>3718678</v>
      </c>
      <c r="O9">
        <v>141</v>
      </c>
      <c r="P9">
        <v>193857</v>
      </c>
      <c r="Q9">
        <v>5795691</v>
      </c>
      <c r="R9">
        <v>90704758</v>
      </c>
      <c r="S9">
        <v>70557</v>
      </c>
      <c r="T9">
        <v>40296</v>
      </c>
      <c r="U9">
        <v>28</v>
      </c>
      <c r="V9">
        <v>57</v>
      </c>
      <c r="W9">
        <v>17</v>
      </c>
      <c r="X9">
        <v>15</v>
      </c>
      <c r="Y9">
        <v>1075094</v>
      </c>
      <c r="Z9">
        <v>12</v>
      </c>
      <c r="AA9">
        <v>0</v>
      </c>
      <c r="AB9">
        <v>0</v>
      </c>
      <c r="AC9">
        <v>1</v>
      </c>
      <c r="AD9" t="s">
        <v>162</v>
      </c>
      <c r="AE9">
        <v>59188</v>
      </c>
      <c r="AF9">
        <v>6.327</v>
      </c>
      <c r="AG9">
        <v>1.0009999999999999</v>
      </c>
      <c r="AH9">
        <v>0</v>
      </c>
      <c r="AI9">
        <v>37.64</v>
      </c>
      <c r="AJ9">
        <v>1.81</v>
      </c>
      <c r="AK9">
        <v>193560</v>
      </c>
      <c r="AL9">
        <v>5734321</v>
      </c>
      <c r="AM9" t="s">
        <v>163</v>
      </c>
      <c r="AN9" t="s">
        <v>164</v>
      </c>
      <c r="AO9" t="s">
        <v>165</v>
      </c>
      <c r="AP9" t="s">
        <v>166</v>
      </c>
    </row>
    <row r="10" spans="1:42" x14ac:dyDescent="0.3">
      <c r="A10" s="1">
        <v>8</v>
      </c>
      <c r="B10" t="s">
        <v>74</v>
      </c>
      <c r="C10">
        <v>90</v>
      </c>
      <c r="D10">
        <v>90</v>
      </c>
      <c r="E10">
        <v>41</v>
      </c>
      <c r="F10">
        <v>26</v>
      </c>
      <c r="G10">
        <v>13</v>
      </c>
      <c r="H10">
        <v>6</v>
      </c>
      <c r="I10">
        <v>1288307</v>
      </c>
      <c r="J10">
        <v>1288307</v>
      </c>
      <c r="K10">
        <v>1151591</v>
      </c>
      <c r="L10">
        <v>1039821</v>
      </c>
      <c r="M10">
        <v>825672</v>
      </c>
      <c r="N10">
        <v>565398</v>
      </c>
      <c r="O10">
        <v>90</v>
      </c>
      <c r="P10">
        <v>168068</v>
      </c>
      <c r="Q10">
        <v>1288307</v>
      </c>
      <c r="R10">
        <v>90704758</v>
      </c>
      <c r="S10">
        <v>41062</v>
      </c>
      <c r="T10">
        <v>15999</v>
      </c>
      <c r="U10">
        <v>8</v>
      </c>
      <c r="V10">
        <v>21</v>
      </c>
      <c r="W10">
        <v>8</v>
      </c>
      <c r="X10">
        <v>7</v>
      </c>
      <c r="Y10">
        <v>287128</v>
      </c>
      <c r="Z10">
        <v>9</v>
      </c>
      <c r="AA10">
        <v>0</v>
      </c>
      <c r="AB10">
        <v>0</v>
      </c>
      <c r="AC10">
        <v>7</v>
      </c>
      <c r="AD10" t="s">
        <v>167</v>
      </c>
      <c r="AE10">
        <v>413314</v>
      </c>
      <c r="AF10">
        <v>0.95299999999999996</v>
      </c>
      <c r="AG10">
        <v>1.024</v>
      </c>
      <c r="AH10">
        <v>0</v>
      </c>
      <c r="AI10">
        <v>390.71</v>
      </c>
      <c r="AJ10">
        <v>6.36</v>
      </c>
      <c r="AK10">
        <v>168068</v>
      </c>
      <c r="AL10">
        <v>873776</v>
      </c>
      <c r="AM10" t="s">
        <v>168</v>
      </c>
      <c r="AN10" t="s">
        <v>18</v>
      </c>
      <c r="AO10" t="s">
        <v>169</v>
      </c>
      <c r="AP10" t="s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7C55B-C8A2-414B-B6C7-C03E0B3A061F}">
  <dimension ref="A1:AP12"/>
  <sheetViews>
    <sheetView workbookViewId="0">
      <selection activeCell="G15" sqref="G15"/>
    </sheetView>
  </sheetViews>
  <sheetFormatPr defaultRowHeight="14.4" x14ac:dyDescent="0.3"/>
  <sheetData>
    <row r="1" spans="1:42" x14ac:dyDescent="0.3"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8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</row>
    <row r="2" spans="1:42" x14ac:dyDescent="0.3">
      <c r="A2" s="1">
        <v>0</v>
      </c>
      <c r="B2" t="s">
        <v>83</v>
      </c>
      <c r="C2">
        <v>86</v>
      </c>
      <c r="D2">
        <v>86</v>
      </c>
      <c r="E2">
        <v>80</v>
      </c>
      <c r="F2">
        <v>76</v>
      </c>
      <c r="G2">
        <v>56</v>
      </c>
      <c r="H2">
        <v>26</v>
      </c>
      <c r="I2">
        <v>4420120</v>
      </c>
      <c r="J2">
        <v>4420120</v>
      </c>
      <c r="K2">
        <v>4407424</v>
      </c>
      <c r="L2">
        <v>4373009</v>
      </c>
      <c r="M2">
        <v>4052952</v>
      </c>
      <c r="N2">
        <v>2889031</v>
      </c>
      <c r="O2">
        <v>86</v>
      </c>
      <c r="P2">
        <v>232306</v>
      </c>
      <c r="Q2">
        <v>4420120</v>
      </c>
      <c r="R2">
        <v>90704758</v>
      </c>
      <c r="S2">
        <v>91299</v>
      </c>
      <c r="T2">
        <v>43452</v>
      </c>
      <c r="U2">
        <v>17</v>
      </c>
      <c r="V2">
        <v>36</v>
      </c>
      <c r="W2" s="9">
        <v>1</v>
      </c>
      <c r="X2">
        <v>1</v>
      </c>
      <c r="Y2">
        <v>72527</v>
      </c>
      <c r="Z2">
        <v>1</v>
      </c>
      <c r="AA2">
        <v>0</v>
      </c>
      <c r="AB2">
        <v>0</v>
      </c>
      <c r="AC2">
        <v>0</v>
      </c>
      <c r="AD2" t="s">
        <v>170</v>
      </c>
      <c r="AE2">
        <v>1680</v>
      </c>
      <c r="AF2">
        <v>4.87</v>
      </c>
      <c r="AG2">
        <v>1</v>
      </c>
      <c r="AH2">
        <v>0</v>
      </c>
      <c r="AI2">
        <v>3.24</v>
      </c>
      <c r="AJ2">
        <v>1.02</v>
      </c>
      <c r="AK2">
        <v>232301</v>
      </c>
      <c r="AL2">
        <v>4417531</v>
      </c>
      <c r="AM2" t="s">
        <v>171</v>
      </c>
      <c r="AN2" t="s">
        <v>172</v>
      </c>
      <c r="AO2" t="s">
        <v>169</v>
      </c>
      <c r="AP2" t="s">
        <v>155</v>
      </c>
    </row>
    <row r="3" spans="1:42" x14ac:dyDescent="0.3">
      <c r="A3" s="1">
        <v>1</v>
      </c>
      <c r="B3" t="s">
        <v>80</v>
      </c>
      <c r="C3">
        <v>508</v>
      </c>
      <c r="D3">
        <v>508</v>
      </c>
      <c r="E3">
        <v>16</v>
      </c>
      <c r="F3">
        <v>6</v>
      </c>
      <c r="G3">
        <v>3</v>
      </c>
      <c r="H3">
        <v>0</v>
      </c>
      <c r="I3">
        <v>1306439</v>
      </c>
      <c r="J3">
        <v>1306439</v>
      </c>
      <c r="K3">
        <v>246120</v>
      </c>
      <c r="L3">
        <v>182721</v>
      </c>
      <c r="M3">
        <v>131145</v>
      </c>
      <c r="N3">
        <v>0</v>
      </c>
      <c r="O3">
        <v>508</v>
      </c>
      <c r="P3">
        <v>45980</v>
      </c>
      <c r="Q3">
        <v>1306439</v>
      </c>
      <c r="R3">
        <v>90704758</v>
      </c>
      <c r="S3">
        <v>2363</v>
      </c>
      <c r="T3">
        <v>1822</v>
      </c>
      <c r="U3">
        <v>150</v>
      </c>
      <c r="V3">
        <v>309</v>
      </c>
      <c r="W3" s="9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 t="s">
        <v>173</v>
      </c>
      <c r="AE3">
        <v>1230709</v>
      </c>
      <c r="AF3">
        <v>8.6999999999999994E-2</v>
      </c>
      <c r="AG3">
        <v>1.0189999999999999</v>
      </c>
      <c r="AH3">
        <v>0</v>
      </c>
      <c r="AI3">
        <v>508.18</v>
      </c>
      <c r="AJ3">
        <v>13.87</v>
      </c>
      <c r="AK3">
        <v>34316</v>
      </c>
      <c r="AL3">
        <v>75730</v>
      </c>
      <c r="AM3" t="s">
        <v>18</v>
      </c>
      <c r="AN3" t="s">
        <v>18</v>
      </c>
      <c r="AO3" t="s">
        <v>18</v>
      </c>
      <c r="AP3" t="s">
        <v>18</v>
      </c>
    </row>
    <row r="4" spans="1:42" x14ac:dyDescent="0.3">
      <c r="A4" s="1">
        <v>2</v>
      </c>
      <c r="B4" t="s">
        <v>37</v>
      </c>
      <c r="C4">
        <v>1053</v>
      </c>
      <c r="D4">
        <v>1053</v>
      </c>
      <c r="E4">
        <v>488</v>
      </c>
      <c r="F4">
        <v>201</v>
      </c>
      <c r="G4">
        <v>20</v>
      </c>
      <c r="H4">
        <v>0</v>
      </c>
      <c r="I4">
        <v>6893758</v>
      </c>
      <c r="J4">
        <v>6893758</v>
      </c>
      <c r="K4">
        <v>5263281</v>
      </c>
      <c r="L4">
        <v>3223416</v>
      </c>
      <c r="M4">
        <v>627120</v>
      </c>
      <c r="N4">
        <v>0</v>
      </c>
      <c r="O4">
        <v>1053</v>
      </c>
      <c r="P4">
        <v>43984</v>
      </c>
      <c r="Q4">
        <v>6893758</v>
      </c>
      <c r="R4">
        <v>90704758</v>
      </c>
      <c r="S4">
        <v>9456</v>
      </c>
      <c r="T4">
        <v>5157</v>
      </c>
      <c r="U4">
        <v>225</v>
      </c>
      <c r="V4">
        <v>470</v>
      </c>
      <c r="W4" s="9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s">
        <v>174</v>
      </c>
      <c r="AE4">
        <v>6879872</v>
      </c>
      <c r="AF4">
        <v>1.6E-2</v>
      </c>
      <c r="AG4">
        <v>1.0089999999999999</v>
      </c>
      <c r="AH4">
        <v>0</v>
      </c>
      <c r="AI4">
        <v>1658.63</v>
      </c>
      <c r="AJ4">
        <v>14.18</v>
      </c>
      <c r="AK4">
        <v>1279</v>
      </c>
      <c r="AL4">
        <v>13883</v>
      </c>
      <c r="AM4" t="s">
        <v>18</v>
      </c>
      <c r="AN4" t="s">
        <v>18</v>
      </c>
      <c r="AO4" t="s">
        <v>18</v>
      </c>
      <c r="AP4" t="s">
        <v>18</v>
      </c>
    </row>
    <row r="5" spans="1:42" x14ac:dyDescent="0.3">
      <c r="A5" s="1">
        <v>3</v>
      </c>
      <c r="B5" t="s">
        <v>87</v>
      </c>
      <c r="C5">
        <v>299</v>
      </c>
      <c r="D5">
        <v>299</v>
      </c>
      <c r="E5">
        <v>243</v>
      </c>
      <c r="F5">
        <v>183</v>
      </c>
      <c r="G5">
        <v>66</v>
      </c>
      <c r="H5">
        <v>20</v>
      </c>
      <c r="I5">
        <v>5769310</v>
      </c>
      <c r="J5">
        <v>5769310</v>
      </c>
      <c r="K5">
        <v>5581574</v>
      </c>
      <c r="L5">
        <v>5153459</v>
      </c>
      <c r="M5">
        <v>3271268</v>
      </c>
      <c r="N5">
        <v>1588086</v>
      </c>
      <c r="O5">
        <v>299</v>
      </c>
      <c r="P5">
        <v>182638</v>
      </c>
      <c r="Q5">
        <v>5769310</v>
      </c>
      <c r="R5">
        <v>90704758</v>
      </c>
      <c r="S5">
        <v>31051</v>
      </c>
      <c r="T5">
        <v>16781</v>
      </c>
      <c r="U5">
        <v>53</v>
      </c>
      <c r="V5">
        <v>118</v>
      </c>
      <c r="W5" s="9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t="s">
        <v>175</v>
      </c>
      <c r="AE5">
        <v>0</v>
      </c>
      <c r="AF5">
        <v>6.3559999999999999</v>
      </c>
      <c r="AG5">
        <v>1.0009999999999999</v>
      </c>
      <c r="AH5">
        <v>0</v>
      </c>
      <c r="AI5">
        <v>4.2300000000000004</v>
      </c>
      <c r="AJ5">
        <v>0.31</v>
      </c>
      <c r="AK5">
        <v>182638</v>
      </c>
      <c r="AL5">
        <v>5769119</v>
      </c>
      <c r="AM5" t="s">
        <v>176</v>
      </c>
      <c r="AN5" t="s">
        <v>177</v>
      </c>
      <c r="AO5" t="s">
        <v>178</v>
      </c>
      <c r="AP5" t="s">
        <v>179</v>
      </c>
    </row>
    <row r="6" spans="1:42" x14ac:dyDescent="0.3">
      <c r="A6" s="1">
        <v>4</v>
      </c>
      <c r="B6" t="s">
        <v>39</v>
      </c>
      <c r="C6">
        <v>51</v>
      </c>
      <c r="D6">
        <v>51</v>
      </c>
      <c r="E6">
        <v>46</v>
      </c>
      <c r="F6">
        <v>40</v>
      </c>
      <c r="G6">
        <v>25</v>
      </c>
      <c r="H6">
        <v>18</v>
      </c>
      <c r="I6">
        <v>2719694</v>
      </c>
      <c r="J6">
        <v>2719694</v>
      </c>
      <c r="K6">
        <v>2704507</v>
      </c>
      <c r="L6">
        <v>2662852</v>
      </c>
      <c r="M6">
        <v>2403294</v>
      </c>
      <c r="N6">
        <v>2173594</v>
      </c>
      <c r="O6">
        <v>51</v>
      </c>
      <c r="P6">
        <v>244780</v>
      </c>
      <c r="Q6">
        <v>2719694</v>
      </c>
      <c r="R6">
        <v>90704758</v>
      </c>
      <c r="S6">
        <v>117934</v>
      </c>
      <c r="T6">
        <v>63046</v>
      </c>
      <c r="U6">
        <v>8</v>
      </c>
      <c r="V6">
        <v>16</v>
      </c>
      <c r="W6" s="9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s">
        <v>180</v>
      </c>
      <c r="AE6">
        <v>2719593</v>
      </c>
      <c r="AF6">
        <v>1E-3</v>
      </c>
      <c r="AG6">
        <v>1</v>
      </c>
      <c r="AH6">
        <v>0</v>
      </c>
      <c r="AI6">
        <v>4526.17</v>
      </c>
      <c r="AJ6">
        <v>0</v>
      </c>
      <c r="AK6">
        <v>101</v>
      </c>
      <c r="AL6">
        <v>101</v>
      </c>
      <c r="AM6" t="s">
        <v>18</v>
      </c>
      <c r="AN6" t="s">
        <v>18</v>
      </c>
      <c r="AO6" t="s">
        <v>18</v>
      </c>
      <c r="AP6" t="s">
        <v>18</v>
      </c>
    </row>
    <row r="7" spans="1:42" x14ac:dyDescent="0.3">
      <c r="A7" s="1">
        <v>5</v>
      </c>
      <c r="B7" t="s">
        <v>76</v>
      </c>
      <c r="C7">
        <v>49</v>
      </c>
      <c r="D7">
        <v>49</v>
      </c>
      <c r="E7">
        <v>23</v>
      </c>
      <c r="F7">
        <v>10</v>
      </c>
      <c r="G7">
        <v>2</v>
      </c>
      <c r="H7">
        <v>0</v>
      </c>
      <c r="I7">
        <v>373127</v>
      </c>
      <c r="J7">
        <v>373127</v>
      </c>
      <c r="K7">
        <v>303474</v>
      </c>
      <c r="L7">
        <v>213962</v>
      </c>
      <c r="M7">
        <v>90335</v>
      </c>
      <c r="N7">
        <v>0</v>
      </c>
      <c r="O7">
        <v>49</v>
      </c>
      <c r="P7">
        <v>45572</v>
      </c>
      <c r="Q7">
        <v>373127</v>
      </c>
      <c r="R7">
        <v>90704758</v>
      </c>
      <c r="S7">
        <v>11852</v>
      </c>
      <c r="T7">
        <v>6504</v>
      </c>
      <c r="U7">
        <v>8</v>
      </c>
      <c r="V7">
        <v>19</v>
      </c>
      <c r="W7" s="9">
        <v>1</v>
      </c>
      <c r="X7">
        <v>1</v>
      </c>
      <c r="Y7">
        <v>20388</v>
      </c>
      <c r="Z7">
        <v>2</v>
      </c>
      <c r="AA7">
        <v>0</v>
      </c>
      <c r="AB7">
        <v>0</v>
      </c>
      <c r="AC7">
        <v>2</v>
      </c>
      <c r="AD7" t="s">
        <v>181</v>
      </c>
      <c r="AE7">
        <v>51676</v>
      </c>
      <c r="AF7">
        <v>0.36399999999999999</v>
      </c>
      <c r="AG7">
        <v>1.002</v>
      </c>
      <c r="AH7">
        <v>0</v>
      </c>
      <c r="AI7">
        <v>685.2</v>
      </c>
      <c r="AJ7">
        <v>5.75</v>
      </c>
      <c r="AK7">
        <v>45572</v>
      </c>
      <c r="AL7">
        <v>320898</v>
      </c>
      <c r="AM7" t="s">
        <v>182</v>
      </c>
      <c r="AN7" t="s">
        <v>183</v>
      </c>
      <c r="AO7" t="s">
        <v>184</v>
      </c>
      <c r="AP7" t="s">
        <v>185</v>
      </c>
    </row>
    <row r="8" spans="1:42" x14ac:dyDescent="0.3">
      <c r="A8" s="1">
        <v>6</v>
      </c>
      <c r="B8" t="s">
        <v>19</v>
      </c>
      <c r="C8">
        <v>50</v>
      </c>
      <c r="D8">
        <v>50</v>
      </c>
      <c r="E8">
        <v>48</v>
      </c>
      <c r="F8">
        <v>47</v>
      </c>
      <c r="G8">
        <v>38</v>
      </c>
      <c r="H8">
        <v>31</v>
      </c>
      <c r="I8">
        <v>5282009</v>
      </c>
      <c r="J8">
        <v>5282009</v>
      </c>
      <c r="K8">
        <v>5276813</v>
      </c>
      <c r="L8">
        <v>5266885</v>
      </c>
      <c r="M8">
        <v>5116542</v>
      </c>
      <c r="N8">
        <v>4865155</v>
      </c>
      <c r="O8">
        <v>50</v>
      </c>
      <c r="P8">
        <v>706456</v>
      </c>
      <c r="Q8">
        <v>5282009</v>
      </c>
      <c r="R8">
        <v>90704758</v>
      </c>
      <c r="S8">
        <v>231043</v>
      </c>
      <c r="T8">
        <v>99941</v>
      </c>
      <c r="U8">
        <v>8</v>
      </c>
      <c r="V8">
        <v>18</v>
      </c>
      <c r="W8" s="9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17</v>
      </c>
      <c r="AD8" t="s">
        <v>186</v>
      </c>
      <c r="AE8">
        <v>5249554</v>
      </c>
      <c r="AF8">
        <v>3.5999999999999997E-2</v>
      </c>
      <c r="AG8">
        <v>1.008</v>
      </c>
      <c r="AH8">
        <v>0</v>
      </c>
      <c r="AI8">
        <v>3558.77</v>
      </c>
      <c r="AJ8">
        <v>0</v>
      </c>
      <c r="AK8">
        <v>5854</v>
      </c>
      <c r="AL8">
        <v>32455</v>
      </c>
      <c r="AM8" t="s">
        <v>18</v>
      </c>
      <c r="AN8" t="s">
        <v>18</v>
      </c>
      <c r="AO8" t="s">
        <v>18</v>
      </c>
      <c r="AP8" t="s">
        <v>18</v>
      </c>
    </row>
    <row r="9" spans="1:42" x14ac:dyDescent="0.3">
      <c r="A9" s="1">
        <v>7</v>
      </c>
      <c r="B9" t="s">
        <v>77</v>
      </c>
      <c r="C9">
        <v>19</v>
      </c>
      <c r="D9">
        <v>19</v>
      </c>
      <c r="E9">
        <v>8</v>
      </c>
      <c r="F9">
        <v>6</v>
      </c>
      <c r="G9">
        <v>3</v>
      </c>
      <c r="H9">
        <v>2</v>
      </c>
      <c r="I9">
        <v>358396</v>
      </c>
      <c r="J9">
        <v>358396</v>
      </c>
      <c r="K9">
        <v>328665</v>
      </c>
      <c r="L9">
        <v>315340</v>
      </c>
      <c r="M9">
        <v>263808</v>
      </c>
      <c r="N9">
        <v>225344</v>
      </c>
      <c r="O9">
        <v>19</v>
      </c>
      <c r="P9">
        <v>165460</v>
      </c>
      <c r="Q9">
        <v>358396</v>
      </c>
      <c r="R9">
        <v>90704758</v>
      </c>
      <c r="S9">
        <v>59884</v>
      </c>
      <c r="T9">
        <v>22919</v>
      </c>
      <c r="U9">
        <v>2</v>
      </c>
      <c r="V9">
        <v>4</v>
      </c>
      <c r="W9" s="9">
        <v>0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 t="s">
        <v>187</v>
      </c>
      <c r="AE9">
        <v>3461</v>
      </c>
      <c r="AF9">
        <v>0.39900000000000002</v>
      </c>
      <c r="AG9">
        <v>1.0009999999999999</v>
      </c>
      <c r="AH9">
        <v>0</v>
      </c>
      <c r="AI9">
        <v>100.03</v>
      </c>
      <c r="AJ9">
        <v>0.83</v>
      </c>
      <c r="AK9">
        <v>165460</v>
      </c>
      <c r="AL9">
        <v>354781</v>
      </c>
      <c r="AM9" t="s">
        <v>188</v>
      </c>
      <c r="AN9" t="s">
        <v>189</v>
      </c>
      <c r="AO9" t="s">
        <v>190</v>
      </c>
      <c r="AP9" t="s">
        <v>191</v>
      </c>
    </row>
    <row r="10" spans="1:42" x14ac:dyDescent="0.3">
      <c r="A10" s="1">
        <v>8</v>
      </c>
      <c r="B10" t="s">
        <v>79</v>
      </c>
      <c r="C10">
        <v>786</v>
      </c>
      <c r="D10">
        <v>786</v>
      </c>
      <c r="E10">
        <v>152</v>
      </c>
      <c r="F10">
        <v>21</v>
      </c>
      <c r="G10">
        <v>0</v>
      </c>
      <c r="H10">
        <v>0</v>
      </c>
      <c r="I10">
        <v>2924891</v>
      </c>
      <c r="J10">
        <v>2924891</v>
      </c>
      <c r="K10">
        <v>1161906</v>
      </c>
      <c r="L10">
        <v>284401</v>
      </c>
      <c r="M10">
        <v>0</v>
      </c>
      <c r="N10">
        <v>0</v>
      </c>
      <c r="O10">
        <v>786</v>
      </c>
      <c r="P10">
        <v>23902</v>
      </c>
      <c r="Q10">
        <v>2924891</v>
      </c>
      <c r="R10">
        <v>90704758</v>
      </c>
      <c r="S10">
        <v>4174</v>
      </c>
      <c r="T10">
        <v>2769</v>
      </c>
      <c r="U10">
        <v>218</v>
      </c>
      <c r="V10">
        <v>433</v>
      </c>
      <c r="W10" s="9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11</v>
      </c>
      <c r="AD10" t="s">
        <v>192</v>
      </c>
      <c r="AE10">
        <v>2860891</v>
      </c>
      <c r="AF10">
        <v>7.6999999999999999E-2</v>
      </c>
      <c r="AG10">
        <v>1.0069999999999999</v>
      </c>
      <c r="AH10">
        <v>0</v>
      </c>
      <c r="AI10">
        <v>3030.56</v>
      </c>
      <c r="AJ10">
        <v>37.04</v>
      </c>
      <c r="AK10">
        <v>7325</v>
      </c>
      <c r="AL10">
        <v>63996</v>
      </c>
      <c r="AM10" t="s">
        <v>18</v>
      </c>
      <c r="AN10" t="s">
        <v>18</v>
      </c>
      <c r="AO10" t="s">
        <v>18</v>
      </c>
      <c r="AP10" t="s">
        <v>18</v>
      </c>
    </row>
    <row r="11" spans="1:42" x14ac:dyDescent="0.3">
      <c r="A11" s="1">
        <v>9</v>
      </c>
      <c r="B11" t="s">
        <v>78</v>
      </c>
      <c r="C11">
        <v>18</v>
      </c>
      <c r="D11">
        <v>18</v>
      </c>
      <c r="E11">
        <v>12</v>
      </c>
      <c r="F11">
        <v>10</v>
      </c>
      <c r="G11">
        <v>8</v>
      </c>
      <c r="H11">
        <v>4</v>
      </c>
      <c r="I11">
        <v>530074</v>
      </c>
      <c r="J11">
        <v>530074</v>
      </c>
      <c r="K11">
        <v>512282</v>
      </c>
      <c r="L11">
        <v>498153</v>
      </c>
      <c r="M11">
        <v>459351</v>
      </c>
      <c r="N11">
        <v>303194</v>
      </c>
      <c r="O11">
        <v>18</v>
      </c>
      <c r="P11">
        <v>92299</v>
      </c>
      <c r="Q11">
        <v>530074</v>
      </c>
      <c r="R11">
        <v>90704758</v>
      </c>
      <c r="S11">
        <v>56215</v>
      </c>
      <c r="T11">
        <v>36729</v>
      </c>
      <c r="U11">
        <v>4</v>
      </c>
      <c r="V11">
        <v>7</v>
      </c>
      <c r="W11" s="9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 t="s">
        <v>193</v>
      </c>
      <c r="AE11">
        <v>491134</v>
      </c>
      <c r="AF11">
        <v>4.5999999999999999E-2</v>
      </c>
      <c r="AG11">
        <v>1</v>
      </c>
      <c r="AH11">
        <v>0</v>
      </c>
      <c r="AI11">
        <v>3070.66</v>
      </c>
      <c r="AJ11">
        <v>240.84</v>
      </c>
      <c r="AK11">
        <v>26624</v>
      </c>
      <c r="AL11">
        <v>38940</v>
      </c>
      <c r="AM11" t="s">
        <v>18</v>
      </c>
      <c r="AN11" t="s">
        <v>18</v>
      </c>
      <c r="AO11" t="s">
        <v>18</v>
      </c>
      <c r="AP11" t="s">
        <v>18</v>
      </c>
    </row>
    <row r="12" spans="1:42" x14ac:dyDescent="0.3">
      <c r="A12" s="1">
        <v>10</v>
      </c>
      <c r="B12" t="s">
        <v>74</v>
      </c>
      <c r="C12">
        <v>38</v>
      </c>
      <c r="D12">
        <v>38</v>
      </c>
      <c r="E12">
        <v>15</v>
      </c>
      <c r="F12">
        <v>5</v>
      </c>
      <c r="G12">
        <v>0</v>
      </c>
      <c r="H12">
        <v>0</v>
      </c>
      <c r="I12">
        <v>218736</v>
      </c>
      <c r="J12">
        <v>218736</v>
      </c>
      <c r="K12">
        <v>132259</v>
      </c>
      <c r="L12">
        <v>63657</v>
      </c>
      <c r="M12">
        <v>0</v>
      </c>
      <c r="N12">
        <v>0</v>
      </c>
      <c r="O12">
        <v>38</v>
      </c>
      <c r="P12">
        <v>13995</v>
      </c>
      <c r="Q12">
        <v>218736</v>
      </c>
      <c r="R12">
        <v>90704758</v>
      </c>
      <c r="S12">
        <v>6136</v>
      </c>
      <c r="T12">
        <v>4120</v>
      </c>
      <c r="U12">
        <v>11</v>
      </c>
      <c r="V12">
        <v>22</v>
      </c>
      <c r="W12" s="9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3</v>
      </c>
      <c r="AD12" t="s">
        <v>194</v>
      </c>
      <c r="AE12">
        <v>191896</v>
      </c>
      <c r="AF12">
        <v>0.03</v>
      </c>
      <c r="AG12">
        <v>1</v>
      </c>
      <c r="AH12">
        <v>0</v>
      </c>
      <c r="AI12">
        <v>2306.9499999999998</v>
      </c>
      <c r="AJ12">
        <v>18.63</v>
      </c>
      <c r="AK12">
        <v>7762</v>
      </c>
      <c r="AL12">
        <v>26836</v>
      </c>
      <c r="AM12" t="s">
        <v>18</v>
      </c>
      <c r="AN12" t="s">
        <v>18</v>
      </c>
      <c r="AO12" t="s">
        <v>18</v>
      </c>
      <c r="AP1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Combined info</vt:lpstr>
      <vt:lpstr>CheckM MAGs</vt:lpstr>
      <vt:lpstr>Phylogeny MAGs</vt:lpstr>
      <vt:lpstr>CheckM genomes</vt:lpstr>
      <vt:lpstr>Phylogeny genomes</vt:lpstr>
      <vt:lpstr>Mapping</vt:lpstr>
      <vt:lpstr>Relative abundances MGX</vt:lpstr>
      <vt:lpstr>Quast MEGAHIT</vt:lpstr>
      <vt:lpstr>Quast metaSPAdes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 Dolinsek</dc:creator>
  <cp:keywords/>
  <dc:description/>
  <cp:lastModifiedBy>Jan Dolinsek</cp:lastModifiedBy>
  <cp:revision/>
  <dcterms:created xsi:type="dcterms:W3CDTF">2015-06-05T18:19:34Z</dcterms:created>
  <dcterms:modified xsi:type="dcterms:W3CDTF">2026-07-11T19:42:29Z</dcterms:modified>
  <cp:category/>
  <cp:contentStatus/>
</cp:coreProperties>
</file>