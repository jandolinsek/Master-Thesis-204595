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36bb45215012928/Master Thesis Share/"/>
    </mc:Choice>
  </mc:AlternateContent>
  <xr:revisionPtr revIDLastSave="35" documentId="13_ncr:1_{209A0150-569B-4711-9BC1-5664D6F2FA4B}" xr6:coauthVersionLast="47" xr6:coauthVersionMax="47" xr10:uidLastSave="{5FDC4F46-2B71-4EED-93A7-83B75E3B850B}"/>
  <bookViews>
    <workbookView xWindow="-23148" yWindow="-108" windowWidth="23256" windowHeight="13896" activeTab="7" xr2:uid="{00000000-000D-0000-FFFF-FFFF00000000}"/>
  </bookViews>
  <sheets>
    <sheet name="Combined info" sheetId="6" r:id="rId1"/>
    <sheet name="CheckM MAGs" sheetId="9" r:id="rId2"/>
    <sheet name="Phylogeny MAGs" sheetId="10" r:id="rId3"/>
    <sheet name="CheckM genomes" sheetId="7" r:id="rId4"/>
    <sheet name="Phylogeny genomes" sheetId="8" r:id="rId5"/>
    <sheet name="Mapping" sheetId="12" r:id="rId6"/>
    <sheet name="Relative abundances MGX" sheetId="14" r:id="rId7"/>
    <sheet name="Quast MEGAHIT" sheetId="17" r:id="rId8"/>
    <sheet name="Quast metaSPAdes" sheetId="18" r:id="rId9"/>
  </sheets>
  <definedNames>
    <definedName name="_xlnm._FilterDatabase" localSheetId="1" hidden="1">'CheckM MAGs'!$A$1:$K$1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6" l="1" a="1"/>
  <c r="J17" i="6" s="1"/>
  <c r="K17" i="6"/>
  <c r="L17" i="6"/>
  <c r="M17" i="6"/>
  <c r="J18" i="6" a="1"/>
  <c r="J18" i="6" s="1"/>
  <c r="K18" i="6"/>
  <c r="L18" i="6"/>
  <c r="M18" i="6"/>
  <c r="J19" i="6" a="1"/>
  <c r="J19" i="6" s="1"/>
  <c r="K19" i="6"/>
  <c r="L19" i="6"/>
  <c r="M19" i="6"/>
  <c r="J20" i="6" a="1"/>
  <c r="J20" i="6" s="1"/>
  <c r="K20" i="6"/>
  <c r="L20" i="6"/>
  <c r="M20" i="6"/>
  <c r="J21" i="6" a="1"/>
  <c r="J21" i="6" s="1"/>
  <c r="K21" i="6"/>
  <c r="L21" i="6"/>
  <c r="M21" i="6"/>
  <c r="J22" i="6" a="1"/>
  <c r="J22" i="6" s="1"/>
  <c r="K22" i="6"/>
  <c r="L22" i="6"/>
  <c r="M22" i="6"/>
  <c r="J23" i="6" a="1"/>
  <c r="J23" i="6" s="1"/>
  <c r="K23" i="6"/>
  <c r="L23" i="6"/>
  <c r="M23" i="6"/>
  <c r="M16" i="6"/>
  <c r="L16" i="6"/>
  <c r="K16" i="6"/>
  <c r="J16" i="6" a="1"/>
  <c r="J16" i="6" s="1"/>
  <c r="J2" i="6" a="1"/>
  <c r="J2" i="6" s="1"/>
  <c r="M15" i="6"/>
  <c r="L15" i="6"/>
  <c r="K15" i="6"/>
  <c r="J15" i="6" a="1"/>
  <c r="J15" i="6" s="1"/>
  <c r="M14" i="6"/>
  <c r="L14" i="6"/>
  <c r="K14" i="6"/>
  <c r="J14" i="6" a="1"/>
  <c r="J14" i="6" s="1"/>
  <c r="M13" i="6"/>
  <c r="L13" i="6"/>
  <c r="K13" i="6"/>
  <c r="J13" i="6" a="1"/>
  <c r="J13" i="6" s="1"/>
  <c r="M12" i="6"/>
  <c r="L12" i="6"/>
  <c r="K12" i="6"/>
  <c r="J12" i="6" a="1"/>
  <c r="J12" i="6" s="1"/>
  <c r="M11" i="6"/>
  <c r="L11" i="6"/>
  <c r="K11" i="6"/>
  <c r="J11" i="6" a="1"/>
  <c r="J11" i="6" s="1"/>
  <c r="M10" i="6"/>
  <c r="L10" i="6"/>
  <c r="K10" i="6"/>
  <c r="J10" i="6" a="1"/>
  <c r="J10" i="6" s="1"/>
  <c r="M9" i="6"/>
  <c r="L9" i="6"/>
  <c r="K9" i="6"/>
  <c r="J9" i="6" a="1"/>
  <c r="J9" i="6" s="1"/>
  <c r="M8" i="6"/>
  <c r="L8" i="6"/>
  <c r="K8" i="6"/>
  <c r="J8" i="6" a="1"/>
  <c r="J8" i="6" s="1"/>
  <c r="M7" i="6"/>
  <c r="L7" i="6"/>
  <c r="K7" i="6"/>
  <c r="J7" i="6" a="1"/>
  <c r="J7" i="6" s="1"/>
  <c r="M6" i="6"/>
  <c r="L6" i="6"/>
  <c r="K6" i="6"/>
  <c r="J6" i="6" a="1"/>
  <c r="J6" i="6" s="1"/>
  <c r="M5" i="6"/>
  <c r="L5" i="6"/>
  <c r="K5" i="6"/>
  <c r="J5" i="6" a="1"/>
  <c r="J5" i="6" s="1"/>
  <c r="M4" i="6"/>
  <c r="L4" i="6"/>
  <c r="K4" i="6"/>
  <c r="J4" i="6" a="1"/>
  <c r="J4" i="6" s="1"/>
  <c r="M3" i="6"/>
  <c r="L3" i="6"/>
  <c r="K3" i="6"/>
  <c r="J3" i="6" a="1"/>
  <c r="J3" i="6" s="1"/>
  <c r="L2" i="6"/>
  <c r="K2" i="6"/>
  <c r="M2" i="6"/>
  <c r="I23" i="6"/>
  <c r="H23" i="6"/>
  <c r="G23" i="6"/>
  <c r="I22" i="6"/>
  <c r="H22" i="6"/>
  <c r="G22" i="6"/>
  <c r="I21" i="6"/>
  <c r="H21" i="6"/>
  <c r="G21" i="6"/>
  <c r="I20" i="6"/>
  <c r="H20" i="6"/>
  <c r="G20" i="6"/>
  <c r="I19" i="6"/>
  <c r="H19" i="6"/>
  <c r="G19" i="6"/>
  <c r="I18" i="6"/>
  <c r="H18" i="6"/>
  <c r="G18" i="6"/>
  <c r="I17" i="6"/>
  <c r="H17" i="6"/>
  <c r="G17" i="6"/>
  <c r="I16" i="6"/>
  <c r="H16" i="6"/>
  <c r="G16" i="6"/>
  <c r="I15" i="6"/>
  <c r="H15" i="6"/>
  <c r="G15" i="6"/>
  <c r="I14" i="6"/>
  <c r="H14" i="6"/>
  <c r="G14" i="6"/>
  <c r="I13" i="6"/>
  <c r="H13" i="6"/>
  <c r="G13" i="6"/>
  <c r="I12" i="6"/>
  <c r="H12" i="6"/>
  <c r="G12" i="6"/>
  <c r="I11" i="6"/>
  <c r="H11" i="6"/>
  <c r="G11" i="6"/>
  <c r="I10" i="6"/>
  <c r="H10" i="6"/>
  <c r="G10" i="6"/>
  <c r="I9" i="6"/>
  <c r="H9" i="6"/>
  <c r="G9" i="6"/>
  <c r="I8" i="6"/>
  <c r="H8" i="6"/>
  <c r="G8" i="6"/>
  <c r="I7" i="6"/>
  <c r="H7" i="6"/>
  <c r="G7" i="6"/>
  <c r="I6" i="6"/>
  <c r="H6" i="6"/>
  <c r="G6" i="6"/>
  <c r="I5" i="6"/>
  <c r="H5" i="6"/>
  <c r="G5" i="6"/>
  <c r="I4" i="6"/>
  <c r="H4" i="6"/>
  <c r="G4" i="6"/>
  <c r="I3" i="6"/>
  <c r="H3" i="6"/>
  <c r="G3" i="6"/>
  <c r="I2" i="6"/>
  <c r="H2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<sst xmlns="http://schemas.openxmlformats.org/spreadsheetml/2006/main" count="1492" uniqueCount="574">
  <si>
    <t>Genome/MAG</t>
  </si>
  <si>
    <t>Strain ID</t>
  </si>
  <si>
    <t>Lowest determined phylogenetic rank</t>
  </si>
  <si>
    <t>Closest
related genome</t>
  </si>
  <si>
    <t>Cyanide use</t>
  </si>
  <si>
    <t>Relative abundance (% T0)</t>
  </si>
  <si>
    <t>Relative abundance (% T1)</t>
  </si>
  <si>
    <t>Relative abundance (% T2)</t>
  </si>
  <si>
    <t>Relative abundance (% T3)</t>
  </si>
  <si>
    <t>GCA_976996005</t>
  </si>
  <si>
    <t>R-91484</t>
  </si>
  <si>
    <t>species</t>
  </si>
  <si>
    <t>Achromobacter pestifer</t>
  </si>
  <si>
    <t>-</t>
  </si>
  <si>
    <t>GCA_976996955</t>
  </si>
  <si>
    <t>R-91492</t>
  </si>
  <si>
    <t>Stenotrophomonas maltophilia_L</t>
  </si>
  <si>
    <t>GCA_976996985</t>
  </si>
  <si>
    <t>R-91479</t>
  </si>
  <si>
    <t>Aquipseudomonas mohnii</t>
  </si>
  <si>
    <t>++</t>
  </si>
  <si>
    <t>GCA_977004765</t>
  </si>
  <si>
    <t>R-91889</t>
  </si>
  <si>
    <t>genus</t>
  </si>
  <si>
    <t>Aquipseudomonas</t>
  </si>
  <si>
    <t>GCA_977004775</t>
  </si>
  <si>
    <t>R-91904</t>
  </si>
  <si>
    <t>Serratia plymuthica</t>
  </si>
  <si>
    <t>GCA_977004785</t>
  </si>
  <si>
    <t>R-91892</t>
  </si>
  <si>
    <t>GCA_977004805</t>
  </si>
  <si>
    <t>R-91905</t>
  </si>
  <si>
    <t>GCA_977004815</t>
  </si>
  <si>
    <t>R-91483</t>
  </si>
  <si>
    <t>Variovorax sp003019815</t>
  </si>
  <si>
    <t>GCA_977004845</t>
  </si>
  <si>
    <t>R-91895</t>
  </si>
  <si>
    <t>Aquipseudomonas veronii</t>
  </si>
  <si>
    <t>GCA_977004915</t>
  </si>
  <si>
    <t>R-91482</t>
  </si>
  <si>
    <t>Sphingobacterium paramultivorum</t>
  </si>
  <si>
    <t>GCA_977004965</t>
  </si>
  <si>
    <t>R-91497</t>
  </si>
  <si>
    <t>Paraburkholderia fungorum</t>
  </si>
  <si>
    <t>GCA_977005005</t>
  </si>
  <si>
    <t>R-91514</t>
  </si>
  <si>
    <t>Klebsiella grimontii</t>
  </si>
  <si>
    <t>GCA_977005055</t>
  </si>
  <si>
    <t>R-91495</t>
  </si>
  <si>
    <t>GCA_977008105</t>
  </si>
  <si>
    <t>R-92313</t>
  </si>
  <si>
    <t>Cupriavidus basilensis_B</t>
  </si>
  <si>
    <t>+</t>
  </si>
  <si>
    <t>bin.1</t>
  </si>
  <si>
    <t>Microbacterium sp000411455</t>
  </si>
  <si>
    <t>bin.10</t>
  </si>
  <si>
    <t>Ancylobacter sp049445835</t>
  </si>
  <si>
    <t>bin.14</t>
  </si>
  <si>
    <t>Flavobacterium sp964518395</t>
  </si>
  <si>
    <t>bin.2</t>
  </si>
  <si>
    <t>Ensifer sp001429285</t>
  </si>
  <si>
    <t>bin.22</t>
  </si>
  <si>
    <t>Microbacterium sp026393345</t>
  </si>
  <si>
    <t>bin.26</t>
  </si>
  <si>
    <t>Sphingobium scionense</t>
  </si>
  <si>
    <t>bin.4</t>
  </si>
  <si>
    <t>Agrobacterium radiobacter</t>
  </si>
  <si>
    <t>bin.5</t>
  </si>
  <si>
    <t>Variovorax sp900115375</t>
  </si>
  <si>
    <t>Bin</t>
  </si>
  <si>
    <t>Taxonomy</t>
  </si>
  <si>
    <t>Markers</t>
  </si>
  <si>
    <t>Completeness</t>
  </si>
  <si>
    <t>Contamination</t>
  </si>
  <si>
    <t>GC (%)</t>
  </si>
  <si>
    <t>Genome size (kb)</t>
  </si>
  <si>
    <t>Contigs</t>
  </si>
  <si>
    <t>N50 (kb)</t>
  </si>
  <si>
    <t>Mean contig length (kb)</t>
  </si>
  <si>
    <t>Predicted genes</t>
  </si>
  <si>
    <t>bin.13</t>
  </si>
  <si>
    <t>root</t>
  </si>
  <si>
    <t>bin.16</t>
  </si>
  <si>
    <t>bin.21</t>
  </si>
  <si>
    <t>bin.23</t>
  </si>
  <si>
    <t>bin.25</t>
  </si>
  <si>
    <t>bin.6</t>
  </si>
  <si>
    <t>bin.8</t>
  </si>
  <si>
    <t>bin.18</t>
  </si>
  <si>
    <t>bin.20</t>
  </si>
  <si>
    <t>bin.11</t>
  </si>
  <si>
    <t>k__Bacteria</t>
  </si>
  <si>
    <t>bin.12</t>
  </si>
  <si>
    <t>bin.3</t>
  </si>
  <si>
    <t>bin.7</t>
  </si>
  <si>
    <t>bin.24</t>
  </si>
  <si>
    <t>f__Enterobacteriaceae</t>
  </si>
  <si>
    <t>o__Actinomycetales</t>
  </si>
  <si>
    <t>o__Burkholderiales</t>
  </si>
  <si>
    <t>o__Sphingomonadales</t>
  </si>
  <si>
    <t>bin.15</t>
  </si>
  <si>
    <t>f__Rhizobiaceae</t>
  </si>
  <si>
    <t>f__Flavobacteriaceae</t>
  </si>
  <si>
    <t>bin.19</t>
  </si>
  <si>
    <t>o__Pseudomonadales</t>
  </si>
  <si>
    <t>bin.9</t>
  </si>
  <si>
    <t>f__Xanthomonadaceae</t>
  </si>
  <si>
    <t>bin.17</t>
  </si>
  <si>
    <t>f__Burkholderiaceae</t>
  </si>
  <si>
    <t>MAG</t>
  </si>
  <si>
    <t>Rank</t>
  </si>
  <si>
    <t>Name</t>
  </si>
  <si>
    <t>Unclassified Bacteria</t>
  </si>
  <si>
    <t>Achromobacter spanius_C</t>
  </si>
  <si>
    <t>Unclassified</t>
  </si>
  <si>
    <t>Variovorax boronicumulans</t>
  </si>
  <si>
    <t>p__Bacteroidetes</t>
  </si>
  <si>
    <t>Genome</t>
  </si>
  <si>
    <t>Status</t>
  </si>
  <si>
    <t>mean (%)</t>
  </si>
  <si>
    <t>std (%)</t>
  </si>
  <si>
    <t>Assigned</t>
  </si>
  <si>
    <t>Unassigned_Unmapped</t>
  </si>
  <si>
    <t>Unassigned_Singleton</t>
  </si>
  <si>
    <t>Unassigned_NoFeatures</t>
  </si>
  <si>
    <t>Unassigned_Ambiguity</t>
  </si>
  <si>
    <t>T0_SO4_1_relative</t>
  </si>
  <si>
    <t>CN_T1_SO4_1_relative</t>
  </si>
  <si>
    <t>CN_T2_SO4_1_relative</t>
  </si>
  <si>
    <t>CN_T3_SO4_1_relative</t>
  </si>
  <si>
    <t>Assembly</t>
  </si>
  <si>
    <t># contigs (&gt;= 0 bp)</t>
  </si>
  <si>
    <t># contigs (&gt;= 1000 bp)</t>
  </si>
  <si>
    <t># contigs (&gt;= 5000 bp)</t>
  </si>
  <si>
    <t># contigs (&gt;= 10000 bp)</t>
  </si>
  <si>
    <t># contigs (&gt;= 25000 bp)</t>
  </si>
  <si>
    <t># contigs (&gt;= 50000 bp)</t>
  </si>
  <si>
    <t>Total length (&gt;= 0 bp)</t>
  </si>
  <si>
    <t>Total length (&gt;= 1000 bp)</t>
  </si>
  <si>
    <t>Total length (&gt;= 5000 bp)</t>
  </si>
  <si>
    <t>Total length (&gt;= 10000 bp)</t>
  </si>
  <si>
    <t>Total length (&gt;= 25000 bp)</t>
  </si>
  <si>
    <t>Total length (&gt;= 50000 bp)</t>
  </si>
  <si>
    <t># contigs</t>
  </si>
  <si>
    <t>Largest contig</t>
  </si>
  <si>
    <t>Total length</t>
  </si>
  <si>
    <t>Reference length</t>
  </si>
  <si>
    <t>N50</t>
  </si>
  <si>
    <t>N75</t>
  </si>
  <si>
    <t>L50</t>
  </si>
  <si>
    <t>L75</t>
  </si>
  <si>
    <t># misassemblies</t>
  </si>
  <si>
    <t># misassembled contigs</t>
  </si>
  <si>
    <t>Misassembled contigs length</t>
  </si>
  <si>
    <t># local misassemblies</t>
  </si>
  <si>
    <t># scaffold gap ext. mis.</t>
  </si>
  <si>
    <t># scaffold gap loc. mis.</t>
  </si>
  <si>
    <t># unaligned mis. contigs</t>
  </si>
  <si>
    <t># unaligned contigs</t>
  </si>
  <si>
    <t>Unaligned length</t>
  </si>
  <si>
    <t>Genome fraction (%)</t>
  </si>
  <si>
    <t>Duplication ratio</t>
  </si>
  <si>
    <t># N's per 100 kbp</t>
  </si>
  <si>
    <t># mismatches per 100 kbp</t>
  </si>
  <si>
    <t># indels per 100 kbp</t>
  </si>
  <si>
    <t>Largest alignment</t>
  </si>
  <si>
    <t>Total aligned length</t>
  </si>
  <si>
    <t>NA50</t>
  </si>
  <si>
    <t>NA75</t>
  </si>
  <si>
    <t>LA50</t>
  </si>
  <si>
    <t>LA75</t>
  </si>
  <si>
    <t>56 + 0 part</t>
  </si>
  <si>
    <t>0</t>
  </si>
  <si>
    <t>40 + 9 part</t>
  </si>
  <si>
    <t>0.008</t>
  </si>
  <si>
    <t>1.000</t>
  </si>
  <si>
    <t>2692.06</t>
  </si>
  <si>
    <t>0.00</t>
  </si>
  <si>
    <t>308</t>
  </si>
  <si>
    <t>1063</t>
  </si>
  <si>
    <t>7</t>
  </si>
  <si>
    <t>5</t>
  </si>
  <si>
    <t>143188</t>
  </si>
  <si>
    <t>8</t>
  </si>
  <si>
    <t>121 + 39 part</t>
  </si>
  <si>
    <t>0.422</t>
  </si>
  <si>
    <t>1.012</t>
  </si>
  <si>
    <t>307.60</t>
  </si>
  <si>
    <t>8.89</t>
  </si>
  <si>
    <t>75636</t>
  </si>
  <si>
    <t>407149</t>
  </si>
  <si>
    <t>9</t>
  </si>
  <si>
    <t>1635337</t>
  </si>
  <si>
    <t>1</t>
  </si>
  <si>
    <t>0 + 6 part</t>
  </si>
  <si>
    <t>7.496</t>
  </si>
  <si>
    <t>1.002</t>
  </si>
  <si>
    <t>21.80</t>
  </si>
  <si>
    <t>2.68</t>
  </si>
  <si>
    <t>285646</t>
  </si>
  <si>
    <t>7401119</t>
  </si>
  <si>
    <t>104817</t>
  </si>
  <si>
    <t>59838</t>
  </si>
  <si>
    <t>23</t>
  </si>
  <si>
    <t>45</t>
  </si>
  <si>
    <t>335 + 3 part</t>
  </si>
  <si>
    <t>0.000</t>
  </si>
  <si>
    <t>0.998</t>
  </si>
  <si>
    <t>2068.97</t>
  </si>
  <si>
    <t>229.89</t>
  </si>
  <si>
    <t>211</t>
  </si>
  <si>
    <t>355</t>
  </si>
  <si>
    <t>4</t>
  </si>
  <si>
    <t>193261</t>
  </si>
  <si>
    <t>0 + 0 part</t>
  </si>
  <si>
    <t>0.401</t>
  </si>
  <si>
    <t>1.013</t>
  </si>
  <si>
    <t>544.08</t>
  </si>
  <si>
    <t>30.56</t>
  </si>
  <si>
    <t>72946</t>
  </si>
  <si>
    <t>264070</t>
  </si>
  <si>
    <t>50457</t>
  </si>
  <si>
    <t>20133</t>
  </si>
  <si>
    <t>3</t>
  </si>
  <si>
    <t>150 + 8 part</t>
  </si>
  <si>
    <t>0.001</t>
  </si>
  <si>
    <t>3544.58</t>
  </si>
  <si>
    <t>149</t>
  </si>
  <si>
    <t>865</t>
  </si>
  <si>
    <t>6</t>
  </si>
  <si>
    <t>267345</t>
  </si>
  <si>
    <t>14</t>
  </si>
  <si>
    <t>1101 + 196 part</t>
  </si>
  <si>
    <t>0.639</t>
  </si>
  <si>
    <t>1.027</t>
  </si>
  <si>
    <t>1017.08</t>
  </si>
  <si>
    <t>33.28</t>
  </si>
  <si>
    <t>93429</t>
  </si>
  <si>
    <t>458775</t>
  </si>
  <si>
    <t>133 + 4 part</t>
  </si>
  <si>
    <t>1.380</t>
  </si>
  <si>
    <t>4938.27</t>
  </si>
  <si>
    <t>93</t>
  </si>
  <si>
    <t>404</t>
  </si>
  <si>
    <t>78</t>
  </si>
  <si>
    <t>239 + 236 part</t>
  </si>
  <si>
    <t>0.132</t>
  </si>
  <si>
    <t>1.029</t>
  </si>
  <si>
    <t>4032.49</t>
  </si>
  <si>
    <t>25.29</t>
  </si>
  <si>
    <t>6908</t>
  </si>
  <si>
    <t>125648</t>
  </si>
  <si>
    <t>59</t>
  </si>
  <si>
    <t>47</t>
  </si>
  <si>
    <t>2108337</t>
  </si>
  <si>
    <t>16</t>
  </si>
  <si>
    <t>3 + 15 part</t>
  </si>
  <si>
    <t>8.482</t>
  </si>
  <si>
    <t>380.82</t>
  </si>
  <si>
    <t>15.43</t>
  </si>
  <si>
    <t>110527</t>
  </si>
  <si>
    <t>7155222</t>
  </si>
  <si>
    <t>32095</t>
  </si>
  <si>
    <t>18843</t>
  </si>
  <si>
    <t>66</t>
  </si>
  <si>
    <t>141</t>
  </si>
  <si>
    <t>2</t>
  </si>
  <si>
    <t>195295</t>
  </si>
  <si>
    <t>0.380</t>
  </si>
  <si>
    <t>1.032</t>
  </si>
  <si>
    <t>732.33</t>
  </si>
  <si>
    <t>25.85</t>
  </si>
  <si>
    <t>97578</t>
  </si>
  <si>
    <t>204234</t>
  </si>
  <si>
    <t>48452</t>
  </si>
  <si>
    <t>19907</t>
  </si>
  <si>
    <t>10</t>
  </si>
  <si>
    <t>574049</t>
  </si>
  <si>
    <t>1 + 9 part</t>
  </si>
  <si>
    <t>7.703</t>
  </si>
  <si>
    <t>1.005</t>
  </si>
  <si>
    <t>141.04</t>
  </si>
  <si>
    <t>4.60</t>
  </si>
  <si>
    <t>213475</t>
  </si>
  <si>
    <t>5673982</t>
  </si>
  <si>
    <t>58439</t>
  </si>
  <si>
    <t>25934</t>
  </si>
  <si>
    <t>31</t>
  </si>
  <si>
    <t>699 + 0 part</t>
  </si>
  <si>
    <t>6091</t>
  </si>
  <si>
    <t>190 + 15 part</t>
  </si>
  <si>
    <t>3.122</t>
  </si>
  <si>
    <t>1.001</t>
  </si>
  <si>
    <t>40.05</t>
  </si>
  <si>
    <t>1.49</t>
  </si>
  <si>
    <t>19243</t>
  </si>
  <si>
    <t>3072676</t>
  </si>
  <si>
    <t>2901</t>
  </si>
  <si>
    <t>1959</t>
  </si>
  <si>
    <t>377</t>
  </si>
  <si>
    <t>726</t>
  </si>
  <si>
    <t>1 + 3 part</t>
  </si>
  <si>
    <t>0.198</t>
  </si>
  <si>
    <t>41.94</t>
  </si>
  <si>
    <t>2.56</t>
  </si>
  <si>
    <t>106915</t>
  </si>
  <si>
    <t>194967</t>
  </si>
  <si>
    <t>73458</t>
  </si>
  <si>
    <t>204504</t>
  </si>
  <si>
    <t>0 + 1 part</t>
  </si>
  <si>
    <t>0.327</t>
  </si>
  <si>
    <t>1.033</t>
  </si>
  <si>
    <t>1010.47</t>
  </si>
  <si>
    <t>42.48</t>
  </si>
  <si>
    <t>53458</t>
  </si>
  <si>
    <t>209693</t>
  </si>
  <si>
    <t>32900</t>
  </si>
  <si>
    <t>23194</t>
  </si>
  <si>
    <t>1715 + 157 part</t>
  </si>
  <si>
    <t>0.276</t>
  </si>
  <si>
    <t>1.014</t>
  </si>
  <si>
    <t>587.55</t>
  </si>
  <si>
    <t>4.40</t>
  </si>
  <si>
    <t>3878</t>
  </si>
  <si>
    <t>273295</t>
  </si>
  <si>
    <t>13</t>
  </si>
  <si>
    <t>697 + 143 part</t>
  </si>
  <si>
    <t>0.062</t>
  </si>
  <si>
    <t>1.003</t>
  </si>
  <si>
    <t>2365.32</t>
  </si>
  <si>
    <t>19.51</t>
  </si>
  <si>
    <t>6199</t>
  </si>
  <si>
    <t>61598</t>
  </si>
  <si>
    <t>bin.27</t>
  </si>
  <si>
    <t>240162</t>
  </si>
  <si>
    <t>0.435</t>
  </si>
  <si>
    <t>165.69</t>
  </si>
  <si>
    <t>6.76</t>
  </si>
  <si>
    <t>162706</t>
  </si>
  <si>
    <t>249119</t>
  </si>
  <si>
    <t>67023</t>
  </si>
  <si>
    <t>bin.28</t>
  </si>
  <si>
    <t>0.220</t>
  </si>
  <si>
    <t>8.75</t>
  </si>
  <si>
    <t>0.92</t>
  </si>
  <si>
    <t>63828</t>
  </si>
  <si>
    <t>217025</t>
  </si>
  <si>
    <t>60383</t>
  </si>
  <si>
    <t>53408</t>
  </si>
  <si>
    <t>bin.29</t>
  </si>
  <si>
    <t>231 + 8 part</t>
  </si>
  <si>
    <t>0.017</t>
  </si>
  <si>
    <t>351.38</t>
  </si>
  <si>
    <t>2484</t>
  </si>
  <si>
    <t>16791</t>
  </si>
  <si>
    <t>1872</t>
  </si>
  <si>
    <t>0 + 3 part</t>
  </si>
  <si>
    <t>0.131</t>
  </si>
  <si>
    <t>421.73</t>
  </si>
  <si>
    <t>44.03</t>
  </si>
  <si>
    <t>13411</t>
  </si>
  <si>
    <t>94594</t>
  </si>
  <si>
    <t>26</t>
  </si>
  <si>
    <t>25</t>
  </si>
  <si>
    <t>558701</t>
  </si>
  <si>
    <t>4.657</t>
  </si>
  <si>
    <t>1.006</t>
  </si>
  <si>
    <t>38.22</t>
  </si>
  <si>
    <t>6.03</t>
  </si>
  <si>
    <t>70881</t>
  </si>
  <si>
    <t>4611986</t>
  </si>
  <si>
    <t>19879</t>
  </si>
  <si>
    <t>12654</t>
  </si>
  <si>
    <t>74</t>
  </si>
  <si>
    <t>145</t>
  </si>
  <si>
    <t>335777</t>
  </si>
  <si>
    <t>1 + 38 part</t>
  </si>
  <si>
    <t>7.035</t>
  </si>
  <si>
    <t>1.023</t>
  </si>
  <si>
    <t>246.56</t>
  </si>
  <si>
    <t>14.55</t>
  </si>
  <si>
    <t>309196</t>
  </si>
  <si>
    <t>7070418</t>
  </si>
  <si>
    <t>108915</t>
  </si>
  <si>
    <t>47415</t>
  </si>
  <si>
    <t>21</t>
  </si>
  <si>
    <t>46</t>
  </si>
  <si>
    <t>1677 + 19 part</t>
  </si>
  <si>
    <t>0.011</t>
  </si>
  <si>
    <t>2294.02</t>
  </si>
  <si>
    <t>47.79</t>
  </si>
  <si>
    <t>2243</t>
  </si>
  <si>
    <t>10319</t>
  </si>
  <si>
    <t>45 + 10 part</t>
  </si>
  <si>
    <t>0.003</t>
  </si>
  <si>
    <t>2997.64</t>
  </si>
  <si>
    <t>235.77</t>
  </si>
  <si>
    <t>862</t>
  </si>
  <si>
    <t>2970</t>
  </si>
  <si>
    <t>55 + 2 part</t>
  </si>
  <si>
    <t>0.006</t>
  </si>
  <si>
    <t>1090.53</t>
  </si>
  <si>
    <t>1307</t>
  </si>
  <si>
    <t>3163</t>
  </si>
  <si>
    <t>33</t>
  </si>
  <si>
    <t>30</t>
  </si>
  <si>
    <t>968335</t>
  </si>
  <si>
    <t>27 + 39 part</t>
  </si>
  <si>
    <t>5.673</t>
  </si>
  <si>
    <t>260.55</t>
  </si>
  <si>
    <t>7.18</t>
  </si>
  <si>
    <t>120904</t>
  </si>
  <si>
    <t>5588804</t>
  </si>
  <si>
    <t>30577</t>
  </si>
  <si>
    <t>14340</t>
  </si>
  <si>
    <t>56</t>
  </si>
  <si>
    <t>128</t>
  </si>
  <si>
    <t>59 + 0 part</t>
  </si>
  <si>
    <t>1806 + 13 part</t>
  </si>
  <si>
    <t>0.004</t>
  </si>
  <si>
    <t>2119.07</t>
  </si>
  <si>
    <t>2039</t>
  </si>
  <si>
    <t>3652</t>
  </si>
  <si>
    <t>1137 + 90 part</t>
  </si>
  <si>
    <t>0.117</t>
  </si>
  <si>
    <t>1.008</t>
  </si>
  <si>
    <t>505.75</t>
  </si>
  <si>
    <t>7.82</t>
  </si>
  <si>
    <t>2799</t>
  </si>
  <si>
    <t>115090</t>
  </si>
  <si>
    <t>965 + 124 part</t>
  </si>
  <si>
    <t>0.145</t>
  </si>
  <si>
    <t>1855.92</t>
  </si>
  <si>
    <t>20.90</t>
  </si>
  <si>
    <t>14267</t>
  </si>
  <si>
    <t>107529</t>
  </si>
  <si>
    <t>0.194</t>
  </si>
  <si>
    <t>52.18</t>
  </si>
  <si>
    <t>1.57</t>
  </si>
  <si>
    <t>78611</t>
  </si>
  <si>
    <t>191623</t>
  </si>
  <si>
    <t>47031</t>
  </si>
  <si>
    <t>40382</t>
  </si>
  <si>
    <t>35 + 1 part</t>
  </si>
  <si>
    <t>0.002</t>
  </si>
  <si>
    <t>53.94</t>
  </si>
  <si>
    <t>1779</t>
  </si>
  <si>
    <t>1854</t>
  </si>
  <si>
    <t>2 + 0 part</t>
  </si>
  <si>
    <t>7.059</t>
  </si>
  <si>
    <t>22.12</t>
  </si>
  <si>
    <t>1.33</t>
  </si>
  <si>
    <t>504292</t>
  </si>
  <si>
    <t>6975490</t>
  </si>
  <si>
    <t>157042</t>
  </si>
  <si>
    <t>57609</t>
  </si>
  <si>
    <t>12</t>
  </si>
  <si>
    <t>29</t>
  </si>
  <si>
    <t>15 + 11 part</t>
  </si>
  <si>
    <t>0.168</t>
  </si>
  <si>
    <t>102.94</t>
  </si>
  <si>
    <t>3.01</t>
  </si>
  <si>
    <t>21016</t>
  </si>
  <si>
    <t>166239</t>
  </si>
  <si>
    <t>7.461</t>
  </si>
  <si>
    <t>9.76</t>
  </si>
  <si>
    <t>1.43</t>
  </si>
  <si>
    <t>501070</t>
  </si>
  <si>
    <t>7405377</t>
  </si>
  <si>
    <t>141139</t>
  </si>
  <si>
    <t>84455</t>
  </si>
  <si>
    <t>39 + 0 part</t>
  </si>
  <si>
    <t>573362</t>
  </si>
  <si>
    <t>7.309</t>
  </si>
  <si>
    <t>48.23</t>
  </si>
  <si>
    <t>1.30</t>
  </si>
  <si>
    <t>317316</t>
  </si>
  <si>
    <t>6770047</t>
  </si>
  <si>
    <t>93998</t>
  </si>
  <si>
    <t>52885</t>
  </si>
  <si>
    <t>180 + 7 part</t>
  </si>
  <si>
    <t>3888.21</t>
  </si>
  <si>
    <t>757</t>
  </si>
  <si>
    <t>5.489</t>
  </si>
  <si>
    <t>214.92</t>
  </si>
  <si>
    <t>177215</t>
  </si>
  <si>
    <t>4173085</t>
  </si>
  <si>
    <t>38701</t>
  </si>
  <si>
    <t>16197</t>
  </si>
  <si>
    <t>71</t>
  </si>
  <si>
    <t>546 + 64 part</t>
  </si>
  <si>
    <t>0.034</t>
  </si>
  <si>
    <t>1957.32</t>
  </si>
  <si>
    <t>2.94</t>
  </si>
  <si>
    <t>4828</t>
  </si>
  <si>
    <t>33974</t>
  </si>
  <si>
    <t>621 + 0 part</t>
  </si>
  <si>
    <t>48 + 2 part</t>
  </si>
  <si>
    <t>1675.98</t>
  </si>
  <si>
    <t>108</t>
  </si>
  <si>
    <t>179</t>
  </si>
  <si>
    <t>3044</t>
  </si>
  <si>
    <t>28 + 2 part</t>
  </si>
  <si>
    <t>3.408</t>
  </si>
  <si>
    <t>41.33</t>
  </si>
  <si>
    <t>1.66</t>
  </si>
  <si>
    <t>19157</t>
  </si>
  <si>
    <t>3365846</t>
  </si>
  <si>
    <t>3497</t>
  </si>
  <si>
    <t>2490</t>
  </si>
  <si>
    <t>326</t>
  </si>
  <si>
    <t>616</t>
  </si>
  <si>
    <t>0.234</t>
  </si>
  <si>
    <t>1.010</t>
  </si>
  <si>
    <t>150.14</t>
  </si>
  <si>
    <t>8.65</t>
  </si>
  <si>
    <t>200246</t>
  </si>
  <si>
    <t>229519</t>
  </si>
  <si>
    <t>76 + 3 part</t>
  </si>
  <si>
    <t>3225.81</t>
  </si>
  <si>
    <t>248</t>
  </si>
  <si>
    <t>8 + 4 part</t>
  </si>
  <si>
    <t>1.668</t>
  </si>
  <si>
    <t>1426.10</t>
  </si>
  <si>
    <t>57.28</t>
  </si>
  <si>
    <t>67510</t>
  </si>
  <si>
    <t>1094435</t>
  </si>
  <si>
    <t>22724</t>
  </si>
  <si>
    <t>14740</t>
  </si>
  <si>
    <t>15</t>
  </si>
  <si>
    <t>332 + 2 part</t>
  </si>
  <si>
    <t>80</t>
  </si>
  <si>
    <t>75</t>
  </si>
  <si>
    <t>540 + 358 part</t>
  </si>
  <si>
    <t>0.149</t>
  </si>
  <si>
    <t>3920.52</t>
  </si>
  <si>
    <t>14.92</t>
  </si>
  <si>
    <t>6026</t>
  </si>
  <si>
    <t>141772</t>
  </si>
  <si>
    <t>14 + 9 part</t>
  </si>
  <si>
    <t>0.222</t>
  </si>
  <si>
    <t>1.82</t>
  </si>
  <si>
    <t>80012</t>
  </si>
  <si>
    <t>218962</t>
  </si>
  <si>
    <t>6848</t>
  </si>
  <si>
    <t>23349</t>
  </si>
  <si>
    <t>2 + 5 part</t>
  </si>
  <si>
    <t>5.547</t>
  </si>
  <si>
    <t>220.24</t>
  </si>
  <si>
    <t>5.30</t>
  </si>
  <si>
    <t>66645</t>
  </si>
  <si>
    <t>5470928</t>
  </si>
  <si>
    <t>15482</t>
  </si>
  <si>
    <t>7962</t>
  </si>
  <si>
    <t>103</t>
  </si>
  <si>
    <t>227</t>
  </si>
  <si>
    <t>164 + 9 part</t>
  </si>
  <si>
    <t>0.069</t>
  </si>
  <si>
    <t>153.46</t>
  </si>
  <si>
    <t>5.90</t>
  </si>
  <si>
    <t>2726</t>
  </si>
  <si>
    <t>67764</t>
  </si>
  <si>
    <t>86985</t>
  </si>
  <si>
    <t>4.762</t>
  </si>
  <si>
    <t>1.004</t>
  </si>
  <si>
    <t>17.43</t>
  </si>
  <si>
    <t>3.83</t>
  </si>
  <si>
    <t>135666</t>
  </si>
  <si>
    <t>4718550</t>
  </si>
  <si>
    <t>36886</t>
  </si>
  <si>
    <t>19485</t>
  </si>
  <si>
    <t>40</t>
  </si>
  <si>
    <t>85</t>
  </si>
  <si>
    <t>Completeness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</si>
</sst>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2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2F49F-8400-4B38-9F22-985B1E539CBB}">
  <dimension ref="A1:M23"/>
  <sheetViews>
    <sheetView zoomScale="85" zoomScaleNormal="85" workbookViewId="0">
      <selection activeCell="D27" sqref="D27"/>
    </sheetView>
  </sheetViews>
  <sheetFormatPr defaultRowHeight="15" customHeight="1" x14ac:dyDescent="0.3"/>
  <cols>
    <col min="1" max="2" width="20.6640625" customWidth="1"/>
    <col min="3" max="3" width="12.33203125" customWidth="1"/>
    <col min="4" max="4" width="37.109375" customWidth="1"/>
    <col min="5" max="5" width="12" customWidth="1"/>
    <col min="6" max="6" width="16.6640625" customWidth="1"/>
    <col min="7" max="9" width="15.33203125" customWidth="1"/>
    <col min="10" max="13" width="14.6640625" customWidth="1"/>
  </cols>
  <sheetData>
    <row r="1" spans="1:13" ht="5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573</v>
      </c>
      <c r="K1" s="3" t="s">
        <v>75</v>
      </c>
      <c r="L1" s="3" t="s">
        <v>77</v>
      </c>
      <c r="M1" s="3" t="s">
        <v>79</v>
      </c>
    </row>
    <row r="2" spans="1:13" ht="14.4" x14ac:dyDescent="0.3">
      <c r="A2" t="s">
        <v>9</v>
      </c>
      <c r="B2" s="6" t="s">
        <v>10</v>
      </c>
      <c r="C2" t="s">
        <v>11</v>
      </c>
      <c r="D2" t="s">
        <v>12</v>
      </c>
      <c r="E2" t="s">
        <v>13</v>
      </c>
      <c r="F2" s="5">
        <f>_xlfn.XLOOKUP($A2,'Relative abundances MGX'!$A$2:$A$100,'Relative abundances MGX'!B$2:B$100)</f>
        <v>1.3293432084968571</v>
      </c>
      <c r="G2" s="5">
        <f>_xlfn.XLOOKUP($A2,'Relative abundances MGX'!$A$2:$A$100,'Relative abundances MGX'!C$2:C$100)</f>
        <v>2.1734125615904172</v>
      </c>
      <c r="H2" s="5">
        <f>_xlfn.XLOOKUP($A2,'Relative abundances MGX'!$A$2:$A$100,'Relative abundances MGX'!D$2:D$100)</f>
        <v>1.118899335384572</v>
      </c>
      <c r="I2" s="5">
        <f>_xlfn.XLOOKUP($A2,'Relative abundances MGX'!$A$2:$A$100,'Relative abundances MGX'!E$2:E$100)</f>
        <v>1.6420305503648229</v>
      </c>
      <c r="J2" cm="1">
        <f t="array" ref="J2">_xlfn.XLOOKUP($A2,'CheckM genomes'!$A$2:$A50,'CheckM genomes'!D$2:D50)</f>
        <v>99.5</v>
      </c>
      <c r="K2">
        <f>_xlfn.XLOOKUP($A2,'CheckM genomes'!$A$2:$A$15,'CheckM genomes'!G$2:G$15)</f>
        <v>7083</v>
      </c>
      <c r="L2">
        <f>_xlfn.XLOOKUP($A2,'CheckM genomes'!$A$2:$A$15,'CheckM genomes'!I$2:I$15)</f>
        <v>7063</v>
      </c>
      <c r="M2">
        <f>_xlfn.XLOOKUP($A2,'CheckM genomes'!$A$2:$A$15,'CheckM genomes'!K$2:K$15)</f>
        <v>6340</v>
      </c>
    </row>
    <row r="3" spans="1:13" ht="14.4" x14ac:dyDescent="0.3">
      <c r="A3" t="s">
        <v>14</v>
      </c>
      <c r="B3" s="6" t="s">
        <v>15</v>
      </c>
      <c r="C3" t="s">
        <v>11</v>
      </c>
      <c r="D3" t="s">
        <v>16</v>
      </c>
      <c r="E3" t="s">
        <v>13</v>
      </c>
      <c r="F3" s="5">
        <f>_xlfn.XLOOKUP($A3,'Relative abundances MGX'!$A$2:$A$100,'Relative abundances MGX'!B$2:B$100)</f>
        <v>0.6879317864595883</v>
      </c>
      <c r="G3" s="5">
        <f>_xlfn.XLOOKUP($A3,'Relative abundances MGX'!$A$2:$A$100,'Relative abundances MGX'!C$2:C$100)</f>
        <v>1.9085595307850289</v>
      </c>
      <c r="H3" s="5">
        <f>_xlfn.XLOOKUP($A3,'Relative abundances MGX'!$A$2:$A$100,'Relative abundances MGX'!D$2:D$100)</f>
        <v>0.52488602222346248</v>
      </c>
      <c r="I3" s="5">
        <f>_xlfn.XLOOKUP($A3,'Relative abundances MGX'!$A$2:$A$100,'Relative abundances MGX'!E$2:E$100)</f>
        <v>0.2999861493149043</v>
      </c>
      <c r="J3" cm="1">
        <f t="array" ref="J3">_xlfn.XLOOKUP($A3,'CheckM genomes'!$A$2:$A16,'CheckM genomes'!D$2:D16)</f>
        <v>100</v>
      </c>
      <c r="K3">
        <f>_xlfn.XLOOKUP($A3,'CheckM genomes'!$A$2:$A$15,'CheckM genomes'!G$2:G$15)</f>
        <v>4903</v>
      </c>
      <c r="L3">
        <f>_xlfn.XLOOKUP($A3,'CheckM genomes'!$A$2:$A$15,'CheckM genomes'!I$2:I$15)</f>
        <v>4903</v>
      </c>
      <c r="M3">
        <f>_xlfn.XLOOKUP($A3,'CheckM genomes'!$A$2:$A$15,'CheckM genomes'!K$2:K$15)</f>
        <v>4372</v>
      </c>
    </row>
    <row r="4" spans="1:13" ht="14.4" x14ac:dyDescent="0.3">
      <c r="A4" t="s">
        <v>17</v>
      </c>
      <c r="B4" s="6" t="s">
        <v>18</v>
      </c>
      <c r="C4" t="s">
        <v>11</v>
      </c>
      <c r="D4" t="s">
        <v>19</v>
      </c>
      <c r="E4" t="s">
        <v>20</v>
      </c>
      <c r="F4" s="5">
        <f>_xlfn.XLOOKUP($A4,'Relative abundances MGX'!$A$2:$A$100,'Relative abundances MGX'!B$2:B$100)</f>
        <v>7.1409432659911243</v>
      </c>
      <c r="G4" s="5">
        <f>_xlfn.XLOOKUP($A4,'Relative abundances MGX'!$A$2:$A$100,'Relative abundances MGX'!C$2:C$100)</f>
        <v>13.606739574058009</v>
      </c>
      <c r="H4" s="5">
        <f>_xlfn.XLOOKUP($A4,'Relative abundances MGX'!$A$2:$A$100,'Relative abundances MGX'!D$2:D$100)</f>
        <v>4.2539082499391858</v>
      </c>
      <c r="I4" s="5">
        <f>_xlfn.XLOOKUP($A4,'Relative abundances MGX'!$A$2:$A$100,'Relative abundances MGX'!E$2:E$100)</f>
        <v>3.709481306075459</v>
      </c>
      <c r="J4" cm="1">
        <f t="array" ref="J4">_xlfn.XLOOKUP($A4,'CheckM genomes'!$A$2:$A17,'CheckM genomes'!D$2:D17)</f>
        <v>100</v>
      </c>
      <c r="K4">
        <f>_xlfn.XLOOKUP($A4,'CheckM genomes'!$A$2:$A$15,'CheckM genomes'!G$2:G$15)</f>
        <v>6973</v>
      </c>
      <c r="L4">
        <f>_xlfn.XLOOKUP($A4,'CheckM genomes'!$A$2:$A$15,'CheckM genomes'!I$2:I$15)</f>
        <v>6677</v>
      </c>
      <c r="M4">
        <f>_xlfn.XLOOKUP($A4,'CheckM genomes'!$A$2:$A$15,'CheckM genomes'!K$2:K$15)</f>
        <v>6406</v>
      </c>
    </row>
    <row r="5" spans="1:13" ht="14.4" x14ac:dyDescent="0.3">
      <c r="A5" t="s">
        <v>21</v>
      </c>
      <c r="B5" s="6" t="s">
        <v>22</v>
      </c>
      <c r="C5" t="s">
        <v>23</v>
      </c>
      <c r="D5" t="s">
        <v>24</v>
      </c>
      <c r="E5" t="s">
        <v>20</v>
      </c>
      <c r="F5" s="5">
        <f>_xlfn.XLOOKUP($A5,'Relative abundances MGX'!$A$2:$A$100,'Relative abundances MGX'!B$2:B$100)</f>
        <v>33.145862191371513</v>
      </c>
      <c r="G5" s="5">
        <f>_xlfn.XLOOKUP($A5,'Relative abundances MGX'!$A$2:$A$100,'Relative abundances MGX'!C$2:C$100)</f>
        <v>24.51217041867827</v>
      </c>
      <c r="H5" s="5">
        <f>_xlfn.XLOOKUP($A5,'Relative abundances MGX'!$A$2:$A$100,'Relative abundances MGX'!D$2:D$100)</f>
        <v>37.305606931089031</v>
      </c>
      <c r="I5" s="5">
        <f>_xlfn.XLOOKUP($A5,'Relative abundances MGX'!$A$2:$A$100,'Relative abundances MGX'!E$2:E$100)</f>
        <v>35.468291260911677</v>
      </c>
      <c r="J5" cm="1">
        <f t="array" ref="J5">_xlfn.XLOOKUP($A5,'CheckM genomes'!$A$2:$A18,'CheckM genomes'!D$2:D18)</f>
        <v>100</v>
      </c>
      <c r="K5">
        <f>_xlfn.XLOOKUP($A5,'CheckM genomes'!$A$2:$A$15,'CheckM genomes'!G$2:G$15)</f>
        <v>6737</v>
      </c>
      <c r="L5">
        <f>_xlfn.XLOOKUP($A5,'CheckM genomes'!$A$2:$A$15,'CheckM genomes'!I$2:I$15)</f>
        <v>6672</v>
      </c>
      <c r="M5">
        <f>_xlfn.XLOOKUP($A5,'CheckM genomes'!$A$2:$A$15,'CheckM genomes'!K$2:K$15)</f>
        <v>6049</v>
      </c>
    </row>
    <row r="6" spans="1:13" ht="14.4" x14ac:dyDescent="0.3">
      <c r="A6" t="s">
        <v>25</v>
      </c>
      <c r="B6" s="6" t="s">
        <v>26</v>
      </c>
      <c r="C6" t="s">
        <v>11</v>
      </c>
      <c r="D6" t="s">
        <v>27</v>
      </c>
      <c r="E6" t="s">
        <v>13</v>
      </c>
      <c r="F6" s="5">
        <f>_xlfn.XLOOKUP($A6,'Relative abundances MGX'!$A$2:$A$100,'Relative abundances MGX'!B$2:B$100)</f>
        <v>2.913530717717621E-2</v>
      </c>
      <c r="G6" s="5">
        <f>_xlfn.XLOOKUP($A6,'Relative abundances MGX'!$A$2:$A$100,'Relative abundances MGX'!C$2:C$100)</f>
        <v>0.20101748437772821</v>
      </c>
      <c r="H6" s="5">
        <f>_xlfn.XLOOKUP($A6,'Relative abundances MGX'!$A$2:$A$100,'Relative abundances MGX'!D$2:D$100)</f>
        <v>0.111913386417014</v>
      </c>
      <c r="I6" s="5">
        <f>_xlfn.XLOOKUP($A6,'Relative abundances MGX'!$A$2:$A$100,'Relative abundances MGX'!E$2:E$100)</f>
        <v>8.2901764616155463E-2</v>
      </c>
      <c r="J6" cm="1">
        <f t="array" ref="J6">_xlfn.XLOOKUP($A6,'CheckM genomes'!$A$2:$A19,'CheckM genomes'!D$2:D19)</f>
        <v>100</v>
      </c>
      <c r="K6">
        <f>_xlfn.XLOOKUP($A6,'CheckM genomes'!$A$2:$A$15,'CheckM genomes'!G$2:G$15)</f>
        <v>5306</v>
      </c>
      <c r="L6">
        <f>_xlfn.XLOOKUP($A6,'CheckM genomes'!$A$2:$A$15,'CheckM genomes'!I$2:I$15)</f>
        <v>5306</v>
      </c>
      <c r="M6">
        <f>_xlfn.XLOOKUP($A6,'CheckM genomes'!$A$2:$A$15,'CheckM genomes'!K$2:K$15)</f>
        <v>4774</v>
      </c>
    </row>
    <row r="7" spans="1:13" ht="14.4" x14ac:dyDescent="0.3">
      <c r="A7" t="s">
        <v>28</v>
      </c>
      <c r="B7" s="6" t="s">
        <v>29</v>
      </c>
      <c r="C7" t="s">
        <v>11</v>
      </c>
      <c r="D7" t="s">
        <v>19</v>
      </c>
      <c r="E7" t="s">
        <v>20</v>
      </c>
      <c r="F7" s="5">
        <f>_xlfn.XLOOKUP($A7,'Relative abundances MGX'!$A$2:$A$100,'Relative abundances MGX'!B$2:B$100)</f>
        <v>10.84459018232044</v>
      </c>
      <c r="G7" s="5">
        <f>_xlfn.XLOOKUP($A7,'Relative abundances MGX'!$A$2:$A$100,'Relative abundances MGX'!C$2:C$100)</f>
        <v>21.196467552616991</v>
      </c>
      <c r="H7" s="5">
        <f>_xlfn.XLOOKUP($A7,'Relative abundances MGX'!$A$2:$A$100,'Relative abundances MGX'!D$2:D$100)</f>
        <v>6.2937337355019629</v>
      </c>
      <c r="I7" s="5">
        <f>_xlfn.XLOOKUP($A7,'Relative abundances MGX'!$A$2:$A$100,'Relative abundances MGX'!E$2:E$100)</f>
        <v>5.7653829773710363</v>
      </c>
      <c r="J7" cm="1">
        <f t="array" ref="J7">_xlfn.XLOOKUP($A7,'CheckM genomes'!$A$2:$A20,'CheckM genomes'!D$2:D20)</f>
        <v>99.7</v>
      </c>
      <c r="K7">
        <f>_xlfn.XLOOKUP($A7,'CheckM genomes'!$A$2:$A$15,'CheckM genomes'!G$2:G$15)</f>
        <v>7017</v>
      </c>
      <c r="L7">
        <f>_xlfn.XLOOKUP($A7,'CheckM genomes'!$A$2:$A$15,'CheckM genomes'!I$2:I$15)</f>
        <v>7017</v>
      </c>
      <c r="M7">
        <f>_xlfn.XLOOKUP($A7,'CheckM genomes'!$A$2:$A$15,'CheckM genomes'!K$2:K$15)</f>
        <v>6424</v>
      </c>
    </row>
    <row r="8" spans="1:13" ht="14.4" x14ac:dyDescent="0.3">
      <c r="A8" t="s">
        <v>30</v>
      </c>
      <c r="B8" s="6" t="s">
        <v>31</v>
      </c>
      <c r="C8" t="s">
        <v>23</v>
      </c>
      <c r="D8" t="s">
        <v>24</v>
      </c>
      <c r="E8" t="s">
        <v>20</v>
      </c>
      <c r="F8" s="5">
        <f>_xlfn.XLOOKUP($A8,'Relative abundances MGX'!$A$2:$A$100,'Relative abundances MGX'!B$2:B$100)</f>
        <v>40.450633617837802</v>
      </c>
      <c r="G8" s="5">
        <f>_xlfn.XLOOKUP($A8,'Relative abundances MGX'!$A$2:$A$100,'Relative abundances MGX'!C$2:C$100)</f>
        <v>30.65074423557164</v>
      </c>
      <c r="H8" s="5">
        <f>_xlfn.XLOOKUP($A8,'Relative abundances MGX'!$A$2:$A$100,'Relative abundances MGX'!D$2:D$100)</f>
        <v>47.904690747250037</v>
      </c>
      <c r="I8" s="5">
        <f>_xlfn.XLOOKUP($A8,'Relative abundances MGX'!$A$2:$A$100,'Relative abundances MGX'!E$2:E$100)</f>
        <v>46.780862767546878</v>
      </c>
      <c r="J8" cm="1">
        <f t="array" ref="J8">_xlfn.XLOOKUP($A8,'CheckM genomes'!$A$2:$A21,'CheckM genomes'!D$2:D21)</f>
        <v>99.7</v>
      </c>
      <c r="K8">
        <f>_xlfn.XLOOKUP($A8,'CheckM genomes'!$A$2:$A$15,'CheckM genomes'!G$2:G$15)</f>
        <v>7038</v>
      </c>
      <c r="L8">
        <f>_xlfn.XLOOKUP($A8,'CheckM genomes'!$A$2:$A$15,'CheckM genomes'!I$2:I$15)</f>
        <v>6983</v>
      </c>
      <c r="M8">
        <f>_xlfn.XLOOKUP($A8,'CheckM genomes'!$A$2:$A$15,'CheckM genomes'!K$2:K$15)</f>
        <v>6281</v>
      </c>
    </row>
    <row r="9" spans="1:13" ht="14.4" x14ac:dyDescent="0.3">
      <c r="A9" t="s">
        <v>32</v>
      </c>
      <c r="B9" s="6" t="s">
        <v>33</v>
      </c>
      <c r="C9" t="s">
        <v>11</v>
      </c>
      <c r="D9" t="s">
        <v>34</v>
      </c>
      <c r="E9" t="s">
        <v>13</v>
      </c>
      <c r="F9" s="5">
        <f>_xlfn.XLOOKUP($A9,'Relative abundances MGX'!$A$2:$A$100,'Relative abundances MGX'!B$2:B$100)</f>
        <v>6.116213285946067E-2</v>
      </c>
      <c r="G9" s="5">
        <f>_xlfn.XLOOKUP($A9,'Relative abundances MGX'!$A$2:$A$100,'Relative abundances MGX'!C$2:C$100)</f>
        <v>2.5841975404413131E-2</v>
      </c>
      <c r="H9" s="5">
        <f>_xlfn.XLOOKUP($A9,'Relative abundances MGX'!$A$2:$A$100,'Relative abundances MGX'!D$2:D$100)</f>
        <v>9.643642067384087E-3</v>
      </c>
      <c r="I9" s="5">
        <f>_xlfn.XLOOKUP($A9,'Relative abundances MGX'!$A$2:$A$100,'Relative abundances MGX'!E$2:E$100)</f>
        <v>2.7942058813872361E-2</v>
      </c>
      <c r="J9" cm="1">
        <f t="array" ref="J9">_xlfn.XLOOKUP($A9,'CheckM genomes'!$A$2:$A22,'CheckM genomes'!D$2:D22)</f>
        <v>100</v>
      </c>
      <c r="K9">
        <f>_xlfn.XLOOKUP($A9,'CheckM genomes'!$A$2:$A$15,'CheckM genomes'!G$2:G$15)</f>
        <v>8317</v>
      </c>
      <c r="L9">
        <f>_xlfn.XLOOKUP($A9,'CheckM genomes'!$A$2:$A$15,'CheckM genomes'!I$2:I$15)</f>
        <v>1540</v>
      </c>
      <c r="M9">
        <f>_xlfn.XLOOKUP($A9,'CheckM genomes'!$A$2:$A$15,'CheckM genomes'!K$2:K$15)</f>
        <v>7725</v>
      </c>
    </row>
    <row r="10" spans="1:13" ht="14.4" x14ac:dyDescent="0.3">
      <c r="A10" t="s">
        <v>35</v>
      </c>
      <c r="B10" s="6" t="s">
        <v>36</v>
      </c>
      <c r="C10" t="s">
        <v>11</v>
      </c>
      <c r="D10" t="s">
        <v>37</v>
      </c>
      <c r="E10" t="s">
        <v>13</v>
      </c>
      <c r="F10" s="5">
        <f>_xlfn.XLOOKUP($A10,'Relative abundances MGX'!$A$2:$A$100,'Relative abundances MGX'!B$2:B$100)</f>
        <v>0.72856884052243887</v>
      </c>
      <c r="G10" s="5">
        <f>_xlfn.XLOOKUP($A10,'Relative abundances MGX'!$A$2:$A$100,'Relative abundances MGX'!C$2:C$100)</f>
        <v>1.640209801019703</v>
      </c>
      <c r="H10" s="5">
        <f>_xlfn.XLOOKUP($A10,'Relative abundances MGX'!$A$2:$A$100,'Relative abundances MGX'!D$2:D$100)</f>
        <v>0.70771176502843847</v>
      </c>
      <c r="I10" s="5">
        <f>_xlfn.XLOOKUP($A10,'Relative abundances MGX'!$A$2:$A$100,'Relative abundances MGX'!E$2:E$100)</f>
        <v>0.68724940555185277</v>
      </c>
      <c r="J10" cm="1">
        <f t="array" ref="J10">_xlfn.XLOOKUP($A10,'CheckM genomes'!$A$2:$A23,'CheckM genomes'!D$2:D23)</f>
        <v>100</v>
      </c>
      <c r="K10">
        <f>_xlfn.XLOOKUP($A10,'CheckM genomes'!$A$2:$A$15,'CheckM genomes'!G$2:G$15)</f>
        <v>7150</v>
      </c>
      <c r="L10">
        <f>_xlfn.XLOOKUP($A10,'CheckM genomes'!$A$2:$A$15,'CheckM genomes'!I$2:I$15)</f>
        <v>7150</v>
      </c>
      <c r="M10">
        <f>_xlfn.XLOOKUP($A10,'CheckM genomes'!$A$2:$A$15,'CheckM genomes'!K$2:K$15)</f>
        <v>6376</v>
      </c>
    </row>
    <row r="11" spans="1:13" ht="14.4" x14ac:dyDescent="0.3">
      <c r="A11" t="s">
        <v>38</v>
      </c>
      <c r="B11" s="6" t="s">
        <v>39</v>
      </c>
      <c r="C11" t="s">
        <v>11</v>
      </c>
      <c r="D11" t="s">
        <v>40</v>
      </c>
      <c r="E11" t="s">
        <v>13</v>
      </c>
      <c r="F11" s="5">
        <f>_xlfn.XLOOKUP($A11,'Relative abundances MGX'!$A$2:$A$100,'Relative abundances MGX'!B$2:B$100)</f>
        <v>3.2455096864611462E-2</v>
      </c>
      <c r="G11" s="5">
        <f>_xlfn.XLOOKUP($A11,'Relative abundances MGX'!$A$2:$A$100,'Relative abundances MGX'!C$2:C$100)</f>
        <v>3.56833089745478E-2</v>
      </c>
      <c r="H11" s="5">
        <f>_xlfn.XLOOKUP($A11,'Relative abundances MGX'!$A$2:$A$100,'Relative abundances MGX'!D$2:D$100)</f>
        <v>1.832602664486695E-2</v>
      </c>
      <c r="I11" s="5">
        <f>_xlfn.XLOOKUP($A11,'Relative abundances MGX'!$A$2:$A$100,'Relative abundances MGX'!E$2:E$100)</f>
        <v>8.6343729478867745E-2</v>
      </c>
      <c r="J11" cm="1">
        <f t="array" ref="J11">_xlfn.XLOOKUP($A11,'CheckM genomes'!$A$2:$A24,'CheckM genomes'!D$2:D24)</f>
        <v>99.8</v>
      </c>
      <c r="K11">
        <f>_xlfn.XLOOKUP($A11,'CheckM genomes'!$A$2:$A$15,'CheckM genomes'!G$2:G$15)</f>
        <v>6384</v>
      </c>
      <c r="L11">
        <f>_xlfn.XLOOKUP($A11,'CheckM genomes'!$A$2:$A$15,'CheckM genomes'!I$2:I$15)</f>
        <v>6384</v>
      </c>
      <c r="M11">
        <f>_xlfn.XLOOKUP($A11,'CheckM genomes'!$A$2:$A$15,'CheckM genomes'!K$2:K$15)</f>
        <v>5415</v>
      </c>
    </row>
    <row r="12" spans="1:13" ht="14.4" x14ac:dyDescent="0.3">
      <c r="A12" t="s">
        <v>41</v>
      </c>
      <c r="B12" s="6" t="s">
        <v>42</v>
      </c>
      <c r="C12" t="s">
        <v>11</v>
      </c>
      <c r="D12" t="s">
        <v>43</v>
      </c>
      <c r="E12" t="s">
        <v>13</v>
      </c>
      <c r="F12" s="5">
        <f>_xlfn.XLOOKUP($A12,'Relative abundances MGX'!$A$2:$A$100,'Relative abundances MGX'!B$2:B$100)</f>
        <v>1.904507712129834E-3</v>
      </c>
      <c r="G12" s="5">
        <f>_xlfn.XLOOKUP($A12,'Relative abundances MGX'!$A$2:$A$100,'Relative abundances MGX'!C$2:C$100)</f>
        <v>2.3539877897231398E-3</v>
      </c>
      <c r="H12" s="5">
        <f>_xlfn.XLOOKUP($A12,'Relative abundances MGX'!$A$2:$A$100,'Relative abundances MGX'!D$2:D$100)</f>
        <v>1.8661265383363549E-3</v>
      </c>
      <c r="I12" s="5">
        <f>_xlfn.XLOOKUP($A12,'Relative abundances MGX'!$A$2:$A$100,'Relative abundances MGX'!E$2:E$100)</f>
        <v>2.0332977157179631E-3</v>
      </c>
      <c r="J12" cm="1">
        <f t="array" ref="J12">_xlfn.XLOOKUP($A12,'CheckM genomes'!$A$2:$A25,'CheckM genomes'!D$2:D25)</f>
        <v>100</v>
      </c>
      <c r="K12">
        <f>_xlfn.XLOOKUP($A12,'CheckM genomes'!$A$2:$A$15,'CheckM genomes'!G$2:G$15)</f>
        <v>9378</v>
      </c>
      <c r="L12">
        <f>_xlfn.XLOOKUP($A12,'CheckM genomes'!$A$2:$A$15,'CheckM genomes'!I$2:I$15)</f>
        <v>4810</v>
      </c>
      <c r="M12">
        <f>_xlfn.XLOOKUP($A12,'CheckM genomes'!$A$2:$A$15,'CheckM genomes'!K$2:K$15)</f>
        <v>8525</v>
      </c>
    </row>
    <row r="13" spans="1:13" ht="14.4" x14ac:dyDescent="0.3">
      <c r="A13" t="s">
        <v>44</v>
      </c>
      <c r="B13" s="6" t="s">
        <v>45</v>
      </c>
      <c r="C13" t="s">
        <v>11</v>
      </c>
      <c r="D13" t="s">
        <v>46</v>
      </c>
      <c r="E13" t="s">
        <v>13</v>
      </c>
      <c r="F13" s="5">
        <f>_xlfn.XLOOKUP($A13,'Relative abundances MGX'!$A$2:$A$100,'Relative abundances MGX'!B$2:B$100)</f>
        <v>3.0376557693097919E-3</v>
      </c>
      <c r="G13" s="5">
        <f>_xlfn.XLOOKUP($A13,'Relative abundances MGX'!$A$2:$A$100,'Relative abundances MGX'!C$2:C$100)</f>
        <v>3.070253739466876E-3</v>
      </c>
      <c r="H13" s="5">
        <f>_xlfn.XLOOKUP($A13,'Relative abundances MGX'!$A$2:$A$100,'Relative abundances MGX'!D$2:D$100)</f>
        <v>2.09300663985752E-3</v>
      </c>
      <c r="I13" s="5">
        <f>_xlfn.XLOOKUP($A13,'Relative abundances MGX'!$A$2:$A$100,'Relative abundances MGX'!E$2:E$100)</f>
        <v>2.1108887211455881E-3</v>
      </c>
      <c r="J13" cm="1">
        <f t="array" ref="J13">_xlfn.XLOOKUP($A13,'CheckM genomes'!$A$2:$A26,'CheckM genomes'!D$2:D26)</f>
        <v>99.7</v>
      </c>
      <c r="K13">
        <f>_xlfn.XLOOKUP($A13,'CheckM genomes'!$A$2:$A$15,'CheckM genomes'!G$2:G$15)</f>
        <v>5592</v>
      </c>
      <c r="L13">
        <f>_xlfn.XLOOKUP($A13,'CheckM genomes'!$A$2:$A$15,'CheckM genomes'!I$2:I$15)</f>
        <v>5592</v>
      </c>
      <c r="M13">
        <f>_xlfn.XLOOKUP($A13,'CheckM genomes'!$A$2:$A$15,'CheckM genomes'!K$2:K$15)</f>
        <v>5108</v>
      </c>
    </row>
    <row r="14" spans="1:13" ht="14.4" x14ac:dyDescent="0.3">
      <c r="A14" t="s">
        <v>47</v>
      </c>
      <c r="B14" s="6" t="s">
        <v>48</v>
      </c>
      <c r="C14" t="s">
        <v>11</v>
      </c>
      <c r="D14" t="s">
        <v>43</v>
      </c>
      <c r="E14" t="s">
        <v>13</v>
      </c>
      <c r="F14" s="5">
        <f>_xlfn.XLOOKUP($A14,'Relative abundances MGX'!$A$2:$A$100,'Relative abundances MGX'!B$2:B$100)</f>
        <v>5.5306908289219029E-4</v>
      </c>
      <c r="G14" s="5">
        <f>_xlfn.XLOOKUP($A14,'Relative abundances MGX'!$A$2:$A$100,'Relative abundances MGX'!C$2:C$100)</f>
        <v>6.8697716328466256E-4</v>
      </c>
      <c r="H14" s="5">
        <f>_xlfn.XLOOKUP($A14,'Relative abundances MGX'!$A$2:$A$100,'Relative abundances MGX'!D$2:D$100)</f>
        <v>6.0998837390110561E-4</v>
      </c>
      <c r="I14" s="5">
        <f>_xlfn.XLOOKUP($A14,'Relative abundances MGX'!$A$2:$A$100,'Relative abundances MGX'!E$2:E$100)</f>
        <v>6.5453287067331024E-4</v>
      </c>
      <c r="J14" cm="1">
        <f t="array" ref="J14">_xlfn.XLOOKUP($A14,'CheckM genomes'!$A$2:$A27,'CheckM genomes'!D$2:D27)</f>
        <v>100</v>
      </c>
      <c r="K14">
        <f>_xlfn.XLOOKUP($A14,'CheckM genomes'!$A$2:$A$15,'CheckM genomes'!G$2:G$15)</f>
        <v>8958</v>
      </c>
      <c r="L14">
        <f>_xlfn.XLOOKUP($A14,'CheckM genomes'!$A$2:$A$15,'CheckM genomes'!I$2:I$15)</f>
        <v>5329</v>
      </c>
      <c r="M14">
        <f>_xlfn.XLOOKUP($A14,'CheckM genomes'!$A$2:$A$15,'CheckM genomes'!K$2:K$15)</f>
        <v>7960</v>
      </c>
    </row>
    <row r="15" spans="1:13" ht="14.4" x14ac:dyDescent="0.3">
      <c r="A15" t="s">
        <v>49</v>
      </c>
      <c r="B15" s="6" t="s">
        <v>50</v>
      </c>
      <c r="C15" t="s">
        <v>11</v>
      </c>
      <c r="D15" t="s">
        <v>51</v>
      </c>
      <c r="E15" t="s">
        <v>52</v>
      </c>
      <c r="F15" s="5">
        <f>_xlfn.XLOOKUP($A15,'Relative abundances MGX'!$A$2:$A$100,'Relative abundances MGX'!B$2:B$100)</f>
        <v>2.221394973450896</v>
      </c>
      <c r="G15" s="5">
        <f>_xlfn.XLOOKUP($A15,'Relative abundances MGX'!$A$2:$A$100,'Relative abundances MGX'!C$2:C$100)</f>
        <v>1.7962992739714909</v>
      </c>
      <c r="H15" s="5">
        <f>_xlfn.XLOOKUP($A15,'Relative abundances MGX'!$A$2:$A$100,'Relative abundances MGX'!D$2:D$100)</f>
        <v>1.050350676902857</v>
      </c>
      <c r="I15" s="5">
        <f>_xlfn.XLOOKUP($A15,'Relative abundances MGX'!$A$2:$A$100,'Relative abundances MGX'!E$2:E$100)</f>
        <v>1.586253914942986</v>
      </c>
      <c r="J15" cm="1">
        <f t="array" ref="J15">_xlfn.XLOOKUP($A15,'CheckM genomes'!$A$2:$A28,'CheckM genomes'!D$2:D28)</f>
        <v>99.9</v>
      </c>
      <c r="K15">
        <f>_xlfn.XLOOKUP($A15,'CheckM genomes'!$A$2:$A$15,'CheckM genomes'!G$2:G$15)</f>
        <v>7862</v>
      </c>
      <c r="L15">
        <f>_xlfn.XLOOKUP($A15,'CheckM genomes'!$A$2:$A$15,'CheckM genomes'!I$2:I$15)</f>
        <v>4339</v>
      </c>
      <c r="M15">
        <f>_xlfn.XLOOKUP($A15,'CheckM genomes'!$A$2:$A$15,'CheckM genomes'!K$2:K$15)</f>
        <v>6872</v>
      </c>
    </row>
    <row r="16" spans="1:13" ht="14.4" x14ac:dyDescent="0.3">
      <c r="A16" t="s">
        <v>53</v>
      </c>
      <c r="C16" t="s">
        <v>11</v>
      </c>
      <c r="D16" t="s">
        <v>54</v>
      </c>
      <c r="F16" s="5">
        <f>_xlfn.XLOOKUP($A16,'Relative abundances MGX'!$A$2:$A$100,'Relative abundances MGX'!B$2:B$100)</f>
        <v>0.57123155953633975</v>
      </c>
      <c r="G16" s="5">
        <f>_xlfn.XLOOKUP($A16,'Relative abundances MGX'!$A$2:$A$100,'Relative abundances MGX'!C$2:C$100)</f>
        <v>0.2481563422610634</v>
      </c>
      <c r="H16" s="5">
        <f>_xlfn.XLOOKUP($A16,'Relative abundances MGX'!$A$2:$A$100,'Relative abundances MGX'!D$2:D$100)</f>
        <v>0.1289812993825343</v>
      </c>
      <c r="I16" s="5">
        <f>_xlfn.XLOOKUP($A16,'Relative abundances MGX'!$A$2:$A$100,'Relative abundances MGX'!E$2:E$100)</f>
        <v>0.79783109888457271</v>
      </c>
      <c r="J16" cm="1">
        <f t="array" ref="J16">_xlfn.XLOOKUP($A16,'CheckM MAGs'!$A$2:$A50,'CheckM MAGs'!D$2:D50)</f>
        <v>99.5</v>
      </c>
      <c r="K16">
        <f>_xlfn.XLOOKUP($A16,'CheckM MAGs'!$A$2:$A$50,'CheckM MAGs'!G$2:G$50)</f>
        <v>3174</v>
      </c>
      <c r="L16">
        <f>_xlfn.XLOOKUP($A16,'CheckM MAGs'!$A$2:$A$50,'CheckM MAGs'!I$2:I$50)</f>
        <v>95</v>
      </c>
      <c r="M16">
        <f>_xlfn.XLOOKUP($A16,'CheckM MAGs'!$A$2:$A$50,'CheckM MAGs'!K$2:K$50)</f>
        <v>3087</v>
      </c>
    </row>
    <row r="17" spans="1:13" ht="14.4" x14ac:dyDescent="0.3">
      <c r="A17" t="s">
        <v>55</v>
      </c>
      <c r="C17" t="s">
        <v>11</v>
      </c>
      <c r="D17" t="s">
        <v>56</v>
      </c>
      <c r="F17" s="5">
        <f>_xlfn.XLOOKUP($A17,'Relative abundances MGX'!$A$2:$A$100,'Relative abundances MGX'!B$2:B$100)</f>
        <v>0.14944803899178671</v>
      </c>
      <c r="G17" s="5">
        <f>_xlfn.XLOOKUP($A17,'Relative abundances MGX'!$A$2:$A$100,'Relative abundances MGX'!C$2:C$100)</f>
        <v>7.0263085012266371E-2</v>
      </c>
      <c r="H17" s="5">
        <f>_xlfn.XLOOKUP($A17,'Relative abundances MGX'!$A$2:$A$100,'Relative abundances MGX'!D$2:D$100)</f>
        <v>1.6067078820478579E-2</v>
      </c>
      <c r="I17" s="5">
        <f>_xlfn.XLOOKUP($A17,'Relative abundances MGX'!$A$2:$A$100,'Relative abundances MGX'!E$2:E$100)</f>
        <v>0.1061740107034994</v>
      </c>
      <c r="J17" cm="1">
        <f t="array" ref="J17">_xlfn.XLOOKUP($A17,'CheckM MAGs'!$A$2:$A51,'CheckM MAGs'!D$2:D51)</f>
        <v>51.4</v>
      </c>
      <c r="K17">
        <f>_xlfn.XLOOKUP($A17,'CheckM MAGs'!$A$2:$A$50,'CheckM MAGs'!G$2:G$50)</f>
        <v>4503</v>
      </c>
      <c r="L17">
        <f>_xlfn.XLOOKUP($A17,'CheckM MAGs'!$A$2:$A$50,'CheckM MAGs'!I$2:I$50)</f>
        <v>2</v>
      </c>
      <c r="M17">
        <f>_xlfn.XLOOKUP($A17,'CheckM MAGs'!$A$2:$A$50,'CheckM MAGs'!K$2:K$50)</f>
        <v>5745</v>
      </c>
    </row>
    <row r="18" spans="1:13" ht="14.4" x14ac:dyDescent="0.3">
      <c r="A18" t="s">
        <v>57</v>
      </c>
      <c r="C18" t="s">
        <v>11</v>
      </c>
      <c r="D18" t="s">
        <v>58</v>
      </c>
      <c r="F18" s="5">
        <f>_xlfn.XLOOKUP($A18,'Relative abundances MGX'!$A$2:$A$100,'Relative abundances MGX'!B$2:B$100)</f>
        <v>0.5939815094954165</v>
      </c>
      <c r="G18" s="5">
        <f>_xlfn.XLOOKUP($A18,'Relative abundances MGX'!$A$2:$A$100,'Relative abundances MGX'!C$2:C$100)</f>
        <v>0.47510203316541549</v>
      </c>
      <c r="H18" s="5">
        <f>_xlfn.XLOOKUP($A18,'Relative abundances MGX'!$A$2:$A$100,'Relative abundances MGX'!D$2:D$100)</f>
        <v>0.28051990985435782</v>
      </c>
      <c r="I18" s="5">
        <f>_xlfn.XLOOKUP($A18,'Relative abundances MGX'!$A$2:$A$100,'Relative abundances MGX'!E$2:E$100)</f>
        <v>1.3097681217346711</v>
      </c>
      <c r="J18" cm="1">
        <f t="array" ref="J18">_xlfn.XLOOKUP($A18,'CheckM MAGs'!$A$2:$A52,'CheckM MAGs'!D$2:D52)</f>
        <v>98.2</v>
      </c>
      <c r="K18">
        <f>_xlfn.XLOOKUP($A18,'CheckM MAGs'!$A$2:$A$50,'CheckM MAGs'!G$2:G$50)</f>
        <v>3988</v>
      </c>
      <c r="L18">
        <f>_xlfn.XLOOKUP($A18,'CheckM MAGs'!$A$2:$A$50,'CheckM MAGs'!I$2:I$50)</f>
        <v>167</v>
      </c>
      <c r="M18">
        <f>_xlfn.XLOOKUP($A18,'CheckM MAGs'!$A$2:$A$50,'CheckM MAGs'!K$2:K$50)</f>
        <v>3657</v>
      </c>
    </row>
    <row r="19" spans="1:13" ht="14.4" x14ac:dyDescent="0.3">
      <c r="A19" t="s">
        <v>59</v>
      </c>
      <c r="C19" t="s">
        <v>11</v>
      </c>
      <c r="D19" t="s">
        <v>60</v>
      </c>
      <c r="F19" s="5">
        <f>_xlfn.XLOOKUP($A19,'Relative abundances MGX'!$A$2:$A$100,'Relative abundances MGX'!B$2:B$100)</f>
        <v>0.62873979853590112</v>
      </c>
      <c r="G19" s="5">
        <f>_xlfn.XLOOKUP($A19,'Relative abundances MGX'!$A$2:$A$100,'Relative abundances MGX'!C$2:C$100)</f>
        <v>0.37432728932136877</v>
      </c>
      <c r="H19" s="5">
        <f>_xlfn.XLOOKUP($A19,'Relative abundances MGX'!$A$2:$A$100,'Relative abundances MGX'!D$2:D$100)</f>
        <v>9.8299438472231201E-2</v>
      </c>
      <c r="I19" s="5">
        <f>_xlfn.XLOOKUP($A19,'Relative abundances MGX'!$A$2:$A$100,'Relative abundances MGX'!E$2:E$100)</f>
        <v>0.53668014665849773</v>
      </c>
      <c r="J19" cm="1">
        <f t="array" ref="J19">_xlfn.XLOOKUP($A19,'CheckM MAGs'!$A$2:$A53,'CheckM MAGs'!D$2:D53)</f>
        <v>98.3</v>
      </c>
      <c r="K19">
        <f>_xlfn.XLOOKUP($A19,'CheckM MAGs'!$A$2:$A$50,'CheckM MAGs'!G$2:G$50)</f>
        <v>7537</v>
      </c>
      <c r="L19">
        <f>_xlfn.XLOOKUP($A19,'CheckM MAGs'!$A$2:$A$50,'CheckM MAGs'!I$2:I$50)</f>
        <v>114</v>
      </c>
      <c r="M19">
        <f>_xlfn.XLOOKUP($A19,'CheckM MAGs'!$A$2:$A$50,'CheckM MAGs'!K$2:K$50)</f>
        <v>7167</v>
      </c>
    </row>
    <row r="20" spans="1:13" ht="14.4" x14ac:dyDescent="0.3">
      <c r="A20" t="s">
        <v>61</v>
      </c>
      <c r="C20" t="s">
        <v>11</v>
      </c>
      <c r="D20" t="s">
        <v>62</v>
      </c>
      <c r="F20" s="5">
        <f>_xlfn.XLOOKUP($A20,'Relative abundances MGX'!$A$2:$A$100,'Relative abundances MGX'!B$2:B$100)</f>
        <v>0.17647292791230501</v>
      </c>
      <c r="G20" s="5">
        <f>_xlfn.XLOOKUP($A20,'Relative abundances MGX'!$A$2:$A$100,'Relative abundances MGX'!C$2:C$100)</f>
        <v>0.1142021920438957</v>
      </c>
      <c r="H20" s="5">
        <f>_xlfn.XLOOKUP($A20,'Relative abundances MGX'!$A$2:$A$100,'Relative abundances MGX'!D$2:D$100)</f>
        <v>3.1693185578055609E-2</v>
      </c>
      <c r="I20" s="5">
        <f>_xlfn.XLOOKUP($A20,'Relative abundances MGX'!$A$2:$A$100,'Relative abundances MGX'!E$2:E$100)</f>
        <v>0.13088063533715791</v>
      </c>
      <c r="J20" cm="1">
        <f t="array" ref="J20">_xlfn.XLOOKUP($A20,'CheckM MAGs'!$A$2:$A54,'CheckM MAGs'!D$2:D54)</f>
        <v>78.7</v>
      </c>
      <c r="K20">
        <f>_xlfn.XLOOKUP($A20,'CheckM MAGs'!$A$2:$A$50,'CheckM MAGs'!G$2:G$50)</f>
        <v>2809</v>
      </c>
      <c r="L20">
        <f>_xlfn.XLOOKUP($A20,'CheckM MAGs'!$A$2:$A$50,'CheckM MAGs'!I$2:I$50)</f>
        <v>6</v>
      </c>
      <c r="M20">
        <f>_xlfn.XLOOKUP($A20,'CheckM MAGs'!$A$2:$A$50,'CheckM MAGs'!K$2:K$50)</f>
        <v>3203</v>
      </c>
    </row>
    <row r="21" spans="1:13" ht="14.4" x14ac:dyDescent="0.3">
      <c r="A21" t="s">
        <v>63</v>
      </c>
      <c r="C21" t="s">
        <v>11</v>
      </c>
      <c r="D21" t="s">
        <v>64</v>
      </c>
      <c r="F21" s="5">
        <f>_xlfn.XLOOKUP($A21,'Relative abundances MGX'!$A$2:$A$100,'Relative abundances MGX'!B$2:B$100)</f>
        <v>0.32497360726696012</v>
      </c>
      <c r="G21" s="5">
        <f>_xlfn.XLOOKUP($A21,'Relative abundances MGX'!$A$2:$A$100,'Relative abundances MGX'!C$2:C$100)</f>
        <v>0.2466152409302802</v>
      </c>
      <c r="H21" s="5">
        <f>_xlfn.XLOOKUP($A21,'Relative abundances MGX'!$A$2:$A$100,'Relative abundances MGX'!D$2:D$100)</f>
        <v>3.033262118187793E-2</v>
      </c>
      <c r="I21" s="5">
        <f>_xlfn.XLOOKUP($A21,'Relative abundances MGX'!$A$2:$A$100,'Relative abundances MGX'!E$2:E$100)</f>
        <v>0.31889513379024809</v>
      </c>
      <c r="J21" cm="1">
        <f t="array" ref="J21">_xlfn.XLOOKUP($A21,'CheckM MAGs'!$A$2:$A55,'CheckM MAGs'!D$2:D55)</f>
        <v>94</v>
      </c>
      <c r="K21">
        <f>_xlfn.XLOOKUP($A21,'CheckM MAGs'!$A$2:$A$50,'CheckM MAGs'!G$2:G$50)</f>
        <v>4225</v>
      </c>
      <c r="L21">
        <f>_xlfn.XLOOKUP($A21,'CheckM MAGs'!$A$2:$A$50,'CheckM MAGs'!I$2:I$50)</f>
        <v>98</v>
      </c>
      <c r="M21">
        <f>_xlfn.XLOOKUP($A21,'CheckM MAGs'!$A$2:$A$50,'CheckM MAGs'!K$2:K$50)</f>
        <v>3953</v>
      </c>
    </row>
    <row r="22" spans="1:13" ht="14.4" x14ac:dyDescent="0.3">
      <c r="A22" t="s">
        <v>65</v>
      </c>
      <c r="C22" t="s">
        <v>11</v>
      </c>
      <c r="D22" t="s">
        <v>66</v>
      </c>
      <c r="F22" s="5">
        <f>_xlfn.XLOOKUP($A22,'Relative abundances MGX'!$A$2:$A$100,'Relative abundances MGX'!B$2:B$100)</f>
        <v>0.31619060398343729</v>
      </c>
      <c r="G22" s="5">
        <f>_xlfn.XLOOKUP($A22,'Relative abundances MGX'!$A$2:$A$100,'Relative abundances MGX'!C$2:C$100)</f>
        <v>0.47082144928446951</v>
      </c>
      <c r="H22" s="5">
        <f>_xlfn.XLOOKUP($A22,'Relative abundances MGX'!$A$2:$A$100,'Relative abundances MGX'!D$2:D$100)</f>
        <v>6.2225205914664593E-2</v>
      </c>
      <c r="I22" s="5">
        <f>_xlfn.XLOOKUP($A22,'Relative abundances MGX'!$A$2:$A$100,'Relative abundances MGX'!E$2:E$100)</f>
        <v>0.45183419081807608</v>
      </c>
      <c r="J22" cm="1">
        <f t="array" ref="J22">_xlfn.XLOOKUP($A22,'CheckM MAGs'!$A$2:$A56,'CheckM MAGs'!D$2:D56)</f>
        <v>97.1</v>
      </c>
      <c r="K22">
        <f>_xlfn.XLOOKUP($A22,'CheckM MAGs'!$A$2:$A$50,'CheckM MAGs'!G$2:G$50)</f>
        <v>5209</v>
      </c>
      <c r="L22">
        <f>_xlfn.XLOOKUP($A22,'CheckM MAGs'!$A$2:$A$50,'CheckM MAGs'!I$2:I$50)</f>
        <v>25</v>
      </c>
      <c r="M22">
        <f>_xlfn.XLOOKUP($A22,'CheckM MAGs'!$A$2:$A$50,'CheckM MAGs'!K$2:K$50)</f>
        <v>5088</v>
      </c>
    </row>
    <row r="23" spans="1:13" ht="14.4" x14ac:dyDescent="0.3">
      <c r="A23" t="s">
        <v>67</v>
      </c>
      <c r="C23" t="s">
        <v>11</v>
      </c>
      <c r="D23" t="s">
        <v>68</v>
      </c>
      <c r="F23" s="5">
        <f>_xlfn.XLOOKUP($A23,'Relative abundances MGX'!$A$2:$A$100,'Relative abundances MGX'!B$2:B$100)</f>
        <v>0.55992855000554165</v>
      </c>
      <c r="G23" s="5">
        <f>_xlfn.XLOOKUP($A23,'Relative abundances MGX'!$A$2:$A$100,'Relative abundances MGX'!C$2:C$100)</f>
        <v>0.23879415373141599</v>
      </c>
      <c r="H23" s="5">
        <f>_xlfn.XLOOKUP($A23,'Relative abundances MGX'!$A$2:$A$100,'Relative abundances MGX'!D$2:D$100)</f>
        <v>4.2949949570295971E-2</v>
      </c>
      <c r="I23" s="5">
        <f>_xlfn.XLOOKUP($A23,'Relative abundances MGX'!$A$2:$A$100,'Relative abundances MGX'!E$2:E$100)</f>
        <v>0.20257698141401601</v>
      </c>
      <c r="J23" cm="1">
        <f t="array" ref="J23">_xlfn.XLOOKUP($A23,'CheckM MAGs'!$A$2:$A57,'CheckM MAGs'!D$2:D57)</f>
        <v>91.2</v>
      </c>
      <c r="K23">
        <f>_xlfn.XLOOKUP($A23,'CheckM MAGs'!$A$2:$A$50,'CheckM MAGs'!G$2:G$50)</f>
        <v>8936</v>
      </c>
      <c r="L23">
        <f>_xlfn.XLOOKUP($A23,'CheckM MAGs'!$A$2:$A$50,'CheckM MAGs'!I$2:I$50)</f>
        <v>18</v>
      </c>
      <c r="M23">
        <f>_xlfn.XLOOKUP($A23,'CheckM MAGs'!$A$2:$A$50,'CheckM MAGs'!K$2:K$50)</f>
        <v>8875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E5687-07A6-4A6B-BD3A-D5C0F85DA1A7}">
  <dimension ref="A1:K27"/>
  <sheetViews>
    <sheetView topLeftCell="A12" workbookViewId="0">
      <selection activeCell="I19" sqref="I19"/>
    </sheetView>
  </sheetViews>
  <sheetFormatPr defaultRowHeight="14.4" x14ac:dyDescent="0.3"/>
  <cols>
    <col min="1" max="11" width="14.44140625" style="4" customWidth="1"/>
  </cols>
  <sheetData>
    <row r="1" spans="1:11" ht="28.8" x14ac:dyDescent="0.3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</row>
    <row r="2" spans="1:11" x14ac:dyDescent="0.3">
      <c r="A2" s="4" t="s">
        <v>80</v>
      </c>
      <c r="B2" s="4" t="s">
        <v>81</v>
      </c>
      <c r="C2" s="4">
        <v>56</v>
      </c>
      <c r="D2" s="4">
        <v>0</v>
      </c>
      <c r="E2" s="4">
        <v>0</v>
      </c>
      <c r="F2" s="4">
        <v>59.4</v>
      </c>
      <c r="G2" s="4">
        <v>210</v>
      </c>
      <c r="H2" s="4">
        <v>9</v>
      </c>
      <c r="I2" s="4">
        <v>47</v>
      </c>
      <c r="J2" s="4">
        <v>23</v>
      </c>
      <c r="K2" s="4">
        <v>201</v>
      </c>
    </row>
    <row r="3" spans="1:11" x14ac:dyDescent="0.3">
      <c r="A3" s="4" t="s">
        <v>82</v>
      </c>
      <c r="B3" s="4" t="s">
        <v>81</v>
      </c>
      <c r="C3" s="4">
        <v>56</v>
      </c>
      <c r="D3" s="4">
        <v>0</v>
      </c>
      <c r="E3" s="4">
        <v>0</v>
      </c>
      <c r="F3" s="4">
        <v>54.7</v>
      </c>
      <c r="G3" s="4">
        <v>407</v>
      </c>
      <c r="H3" s="4">
        <v>56</v>
      </c>
      <c r="I3" s="4">
        <v>16</v>
      </c>
      <c r="J3" s="4">
        <v>7</v>
      </c>
      <c r="K3" s="4">
        <v>441</v>
      </c>
    </row>
    <row r="4" spans="1:11" x14ac:dyDescent="0.3">
      <c r="A4" s="4" t="s">
        <v>83</v>
      </c>
      <c r="B4" s="4" t="s">
        <v>81</v>
      </c>
      <c r="C4" s="4">
        <v>56</v>
      </c>
      <c r="D4" s="4">
        <v>0</v>
      </c>
      <c r="E4" s="4">
        <v>0</v>
      </c>
      <c r="F4" s="4">
        <v>69</v>
      </c>
      <c r="G4" s="4">
        <v>1401</v>
      </c>
      <c r="H4" s="4">
        <v>615</v>
      </c>
      <c r="I4" s="4">
        <v>2</v>
      </c>
      <c r="J4" s="4">
        <v>2</v>
      </c>
      <c r="K4" s="4">
        <v>1862</v>
      </c>
    </row>
    <row r="5" spans="1:11" x14ac:dyDescent="0.3">
      <c r="A5" s="4" t="s">
        <v>84</v>
      </c>
      <c r="B5" s="4" t="s">
        <v>81</v>
      </c>
      <c r="C5" s="4">
        <v>56</v>
      </c>
      <c r="D5" s="4">
        <v>0</v>
      </c>
      <c r="E5" s="4">
        <v>0</v>
      </c>
      <c r="F5" s="4">
        <v>57.9</v>
      </c>
      <c r="G5" s="4">
        <v>300</v>
      </c>
      <c r="H5" s="4">
        <v>50</v>
      </c>
      <c r="I5" s="4">
        <v>10</v>
      </c>
      <c r="J5" s="4">
        <v>6</v>
      </c>
      <c r="K5" s="4">
        <v>364</v>
      </c>
    </row>
    <row r="6" spans="1:11" x14ac:dyDescent="0.3">
      <c r="A6" s="4" t="s">
        <v>85</v>
      </c>
      <c r="B6" s="4" t="s">
        <v>81</v>
      </c>
      <c r="C6" s="4">
        <v>56</v>
      </c>
      <c r="D6" s="4">
        <v>0</v>
      </c>
      <c r="E6" s="4">
        <v>0</v>
      </c>
      <c r="F6" s="4">
        <v>62</v>
      </c>
      <c r="G6" s="4">
        <v>230</v>
      </c>
      <c r="H6" s="4">
        <v>2</v>
      </c>
      <c r="I6" s="4">
        <v>201</v>
      </c>
      <c r="J6" s="4">
        <v>115</v>
      </c>
      <c r="K6" s="4">
        <v>235</v>
      </c>
    </row>
    <row r="7" spans="1:11" x14ac:dyDescent="0.3">
      <c r="A7" s="4" t="s">
        <v>86</v>
      </c>
      <c r="B7" s="4" t="s">
        <v>81</v>
      </c>
      <c r="C7" s="4">
        <v>56</v>
      </c>
      <c r="D7" s="4">
        <v>0</v>
      </c>
      <c r="E7" s="4">
        <v>0</v>
      </c>
      <c r="F7" s="4">
        <v>51.8</v>
      </c>
      <c r="G7" s="4">
        <v>406</v>
      </c>
      <c r="H7" s="4">
        <v>35</v>
      </c>
      <c r="I7" s="4">
        <v>17</v>
      </c>
      <c r="J7" s="4">
        <v>12</v>
      </c>
      <c r="K7" s="4">
        <v>463</v>
      </c>
    </row>
    <row r="8" spans="1:11" x14ac:dyDescent="0.3">
      <c r="A8" s="4" t="s">
        <v>87</v>
      </c>
      <c r="B8" s="4" t="s">
        <v>81</v>
      </c>
      <c r="C8" s="4">
        <v>56</v>
      </c>
      <c r="D8" s="4">
        <v>0</v>
      </c>
      <c r="E8" s="4">
        <v>0</v>
      </c>
      <c r="F8" s="4">
        <v>62</v>
      </c>
      <c r="G8" s="4">
        <v>431</v>
      </c>
      <c r="H8" s="4">
        <v>207</v>
      </c>
      <c r="I8" s="4">
        <v>2</v>
      </c>
      <c r="J8" s="4">
        <v>2</v>
      </c>
      <c r="K8" s="4">
        <v>535</v>
      </c>
    </row>
    <row r="9" spans="1:11" x14ac:dyDescent="0.3">
      <c r="A9" s="4" t="s">
        <v>88</v>
      </c>
      <c r="B9" s="4" t="s">
        <v>81</v>
      </c>
      <c r="C9" s="4">
        <v>56</v>
      </c>
      <c r="D9" s="4">
        <v>4.2</v>
      </c>
      <c r="E9" s="4">
        <v>0</v>
      </c>
      <c r="F9" s="4">
        <v>62.3</v>
      </c>
      <c r="G9" s="4">
        <v>1363</v>
      </c>
      <c r="H9" s="4">
        <v>39</v>
      </c>
      <c r="I9" s="4">
        <v>61</v>
      </c>
      <c r="J9" s="4">
        <v>35</v>
      </c>
      <c r="K9" s="4">
        <v>1356</v>
      </c>
    </row>
    <row r="10" spans="1:11" x14ac:dyDescent="0.3">
      <c r="A10" s="4" t="s">
        <v>89</v>
      </c>
      <c r="B10" s="4" t="s">
        <v>81</v>
      </c>
      <c r="C10" s="4">
        <v>56</v>
      </c>
      <c r="D10" s="4">
        <v>8.3000000000000007</v>
      </c>
      <c r="E10" s="4">
        <v>0</v>
      </c>
      <c r="F10" s="4">
        <v>60.2</v>
      </c>
      <c r="G10" s="4">
        <v>4174</v>
      </c>
      <c r="H10" s="4">
        <v>206</v>
      </c>
      <c r="I10" s="4">
        <v>39</v>
      </c>
      <c r="J10" s="4">
        <v>20</v>
      </c>
      <c r="K10" s="4">
        <v>3953</v>
      </c>
    </row>
    <row r="11" spans="1:11" x14ac:dyDescent="0.3">
      <c r="A11" s="4" t="s">
        <v>90</v>
      </c>
      <c r="B11" s="4" t="s">
        <v>91</v>
      </c>
      <c r="C11" s="4">
        <v>104</v>
      </c>
      <c r="D11" s="4">
        <v>10.3</v>
      </c>
      <c r="E11" s="4">
        <v>3.4</v>
      </c>
      <c r="F11" s="4">
        <v>65.599999999999994</v>
      </c>
      <c r="G11" s="4">
        <v>3227</v>
      </c>
      <c r="H11" s="4">
        <v>1281</v>
      </c>
      <c r="I11" s="4">
        <v>2</v>
      </c>
      <c r="J11" s="4">
        <v>3</v>
      </c>
      <c r="K11" s="4">
        <v>3925</v>
      </c>
    </row>
    <row r="12" spans="1:11" x14ac:dyDescent="0.3">
      <c r="A12" s="4" t="s">
        <v>92</v>
      </c>
      <c r="B12" s="4" t="s">
        <v>91</v>
      </c>
      <c r="C12" s="4">
        <v>104</v>
      </c>
      <c r="D12" s="4">
        <v>13.8</v>
      </c>
      <c r="E12" s="4">
        <v>0</v>
      </c>
      <c r="F12" s="4">
        <v>64</v>
      </c>
      <c r="G12" s="4">
        <v>4205</v>
      </c>
      <c r="H12" s="4">
        <v>1113</v>
      </c>
      <c r="I12" s="4">
        <v>4</v>
      </c>
      <c r="J12" s="4">
        <v>4</v>
      </c>
      <c r="K12" s="4">
        <v>4595</v>
      </c>
    </row>
    <row r="13" spans="1:11" x14ac:dyDescent="0.3">
      <c r="A13" s="4" t="s">
        <v>93</v>
      </c>
      <c r="B13" s="4" t="s">
        <v>91</v>
      </c>
      <c r="C13" s="4">
        <v>103</v>
      </c>
      <c r="D13" s="4">
        <v>17.5</v>
      </c>
      <c r="E13" s="4">
        <v>0</v>
      </c>
      <c r="F13" s="4">
        <v>59.8</v>
      </c>
      <c r="G13" s="4">
        <v>1160</v>
      </c>
      <c r="H13" s="4">
        <v>74</v>
      </c>
      <c r="I13" s="4">
        <v>23</v>
      </c>
      <c r="J13" s="4">
        <v>16</v>
      </c>
      <c r="K13" s="4">
        <v>1131</v>
      </c>
    </row>
    <row r="14" spans="1:11" x14ac:dyDescent="0.3">
      <c r="A14" s="4" t="s">
        <v>94</v>
      </c>
      <c r="B14" s="4" t="s">
        <v>91</v>
      </c>
      <c r="C14" s="4">
        <v>104</v>
      </c>
      <c r="D14" s="4">
        <v>45.7</v>
      </c>
      <c r="E14" s="4">
        <v>1.7</v>
      </c>
      <c r="F14" s="4">
        <v>62</v>
      </c>
      <c r="G14" s="4">
        <v>5532</v>
      </c>
      <c r="H14" s="4">
        <v>528</v>
      </c>
      <c r="I14" s="4">
        <v>16</v>
      </c>
      <c r="J14" s="4">
        <v>10</v>
      </c>
      <c r="K14" s="4">
        <v>5232</v>
      </c>
    </row>
    <row r="15" spans="1:11" x14ac:dyDescent="0.3">
      <c r="A15" s="4" t="s">
        <v>55</v>
      </c>
      <c r="B15" s="4" t="s">
        <v>91</v>
      </c>
      <c r="C15" s="4">
        <v>104</v>
      </c>
      <c r="D15" s="4">
        <v>51.4</v>
      </c>
      <c r="E15" s="4">
        <v>0</v>
      </c>
      <c r="F15" s="4">
        <v>65.7</v>
      </c>
      <c r="G15" s="4">
        <v>4503</v>
      </c>
      <c r="H15" s="4">
        <v>1820</v>
      </c>
      <c r="I15" s="4">
        <v>2</v>
      </c>
      <c r="J15" s="4">
        <v>2</v>
      </c>
      <c r="K15" s="4">
        <v>5745</v>
      </c>
    </row>
    <row r="16" spans="1:11" ht="28.8" x14ac:dyDescent="0.3">
      <c r="A16" s="4" t="s">
        <v>95</v>
      </c>
      <c r="B16" s="4" t="s">
        <v>96</v>
      </c>
      <c r="C16" s="4">
        <v>546</v>
      </c>
      <c r="D16" s="4">
        <v>65.900000000000006</v>
      </c>
      <c r="E16" s="4">
        <v>1.7</v>
      </c>
      <c r="F16" s="4">
        <v>57</v>
      </c>
      <c r="G16" s="4">
        <v>3427</v>
      </c>
      <c r="H16" s="4">
        <v>1046</v>
      </c>
      <c r="I16" s="4">
        <v>4</v>
      </c>
      <c r="J16" s="4">
        <v>3</v>
      </c>
      <c r="K16" s="4">
        <v>3903</v>
      </c>
    </row>
    <row r="17" spans="1:11" ht="28.8" x14ac:dyDescent="0.3">
      <c r="A17" s="4" t="s">
        <v>61</v>
      </c>
      <c r="B17" s="4" t="s">
        <v>97</v>
      </c>
      <c r="C17" s="4">
        <v>400</v>
      </c>
      <c r="D17" s="4">
        <v>78.7</v>
      </c>
      <c r="E17" s="4">
        <v>2.9</v>
      </c>
      <c r="F17" s="4">
        <v>69.5</v>
      </c>
      <c r="G17" s="4">
        <v>2809</v>
      </c>
      <c r="H17" s="4">
        <v>621</v>
      </c>
      <c r="I17" s="4">
        <v>6</v>
      </c>
      <c r="J17" s="4">
        <v>5</v>
      </c>
      <c r="K17" s="4">
        <v>3203</v>
      </c>
    </row>
    <row r="18" spans="1:11" ht="28.8" x14ac:dyDescent="0.3">
      <c r="A18" s="4" t="s">
        <v>67</v>
      </c>
      <c r="B18" s="4" t="s">
        <v>98</v>
      </c>
      <c r="C18" s="4">
        <v>427</v>
      </c>
      <c r="D18" s="4">
        <v>91.2</v>
      </c>
      <c r="E18" s="4">
        <v>3.4</v>
      </c>
      <c r="F18" s="4">
        <v>69.599999999999994</v>
      </c>
      <c r="G18" s="4">
        <v>8936</v>
      </c>
      <c r="H18" s="4">
        <v>899</v>
      </c>
      <c r="I18" s="4">
        <v>18</v>
      </c>
      <c r="J18" s="4">
        <v>10</v>
      </c>
      <c r="K18" s="4">
        <v>8875</v>
      </c>
    </row>
    <row r="19" spans="1:11" ht="28.8" x14ac:dyDescent="0.3">
      <c r="A19" s="4" t="s">
        <v>63</v>
      </c>
      <c r="B19" s="4" t="s">
        <v>99</v>
      </c>
      <c r="C19" s="4">
        <v>569</v>
      </c>
      <c r="D19" s="4">
        <v>94</v>
      </c>
      <c r="E19" s="4">
        <v>0.6</v>
      </c>
      <c r="F19" s="4">
        <v>64.8</v>
      </c>
      <c r="G19" s="4">
        <v>4225</v>
      </c>
      <c r="H19" s="4">
        <v>79</v>
      </c>
      <c r="I19" s="4">
        <v>98</v>
      </c>
      <c r="J19" s="4">
        <v>53</v>
      </c>
      <c r="K19" s="4">
        <v>3953</v>
      </c>
    </row>
    <row r="20" spans="1:11" ht="28.8" x14ac:dyDescent="0.3">
      <c r="A20" s="4" t="s">
        <v>100</v>
      </c>
      <c r="B20" s="4" t="s">
        <v>98</v>
      </c>
      <c r="C20" s="4">
        <v>427</v>
      </c>
      <c r="D20" s="4">
        <v>95.8</v>
      </c>
      <c r="E20" s="4">
        <v>0.5</v>
      </c>
      <c r="F20" s="4">
        <v>63.8</v>
      </c>
      <c r="G20" s="4">
        <v>6992</v>
      </c>
      <c r="H20" s="4">
        <v>158</v>
      </c>
      <c r="I20" s="4">
        <v>157</v>
      </c>
      <c r="J20" s="4">
        <v>44</v>
      </c>
      <c r="K20" s="4">
        <v>6412</v>
      </c>
    </row>
    <row r="21" spans="1:11" ht="28.8" x14ac:dyDescent="0.3">
      <c r="A21" s="4" t="s">
        <v>65</v>
      </c>
      <c r="B21" s="4" t="s">
        <v>101</v>
      </c>
      <c r="C21" s="4">
        <v>840</v>
      </c>
      <c r="D21" s="4">
        <v>97.1</v>
      </c>
      <c r="E21" s="4">
        <v>2.2000000000000002</v>
      </c>
      <c r="F21" s="4">
        <v>59.5</v>
      </c>
      <c r="G21" s="4">
        <v>5209</v>
      </c>
      <c r="H21" s="4">
        <v>334</v>
      </c>
      <c r="I21" s="4">
        <v>25</v>
      </c>
      <c r="J21" s="4">
        <v>16</v>
      </c>
      <c r="K21" s="4">
        <v>5088</v>
      </c>
    </row>
    <row r="22" spans="1:11" ht="28.8" x14ac:dyDescent="0.3">
      <c r="A22" s="4" t="s">
        <v>57</v>
      </c>
      <c r="B22" s="4" t="s">
        <v>102</v>
      </c>
      <c r="C22" s="4">
        <v>511</v>
      </c>
      <c r="D22" s="4">
        <v>98.2</v>
      </c>
      <c r="E22" s="4">
        <v>0.4</v>
      </c>
      <c r="F22" s="4">
        <v>37.1</v>
      </c>
      <c r="G22" s="4">
        <v>3988</v>
      </c>
      <c r="H22" s="4">
        <v>37</v>
      </c>
      <c r="I22" s="4">
        <v>167</v>
      </c>
      <c r="J22" s="4">
        <v>108</v>
      </c>
      <c r="K22" s="4">
        <v>3657</v>
      </c>
    </row>
    <row r="23" spans="1:11" ht="28.8" x14ac:dyDescent="0.3">
      <c r="A23" s="4" t="s">
        <v>59</v>
      </c>
      <c r="B23" s="4" t="s">
        <v>101</v>
      </c>
      <c r="C23" s="4">
        <v>808</v>
      </c>
      <c r="D23" s="4">
        <v>98.3</v>
      </c>
      <c r="E23" s="4">
        <v>1.8</v>
      </c>
      <c r="F23" s="4">
        <v>61.8</v>
      </c>
      <c r="G23" s="4">
        <v>7537</v>
      </c>
      <c r="H23" s="4">
        <v>187</v>
      </c>
      <c r="I23" s="4">
        <v>114</v>
      </c>
      <c r="J23" s="4">
        <v>40</v>
      </c>
      <c r="K23" s="4">
        <v>7167</v>
      </c>
    </row>
    <row r="24" spans="1:11" ht="28.8" x14ac:dyDescent="0.3">
      <c r="A24" s="4" t="s">
        <v>103</v>
      </c>
      <c r="B24" s="4" t="s">
        <v>104</v>
      </c>
      <c r="C24" s="4">
        <v>813</v>
      </c>
      <c r="D24" s="4">
        <v>99.1</v>
      </c>
      <c r="E24" s="4">
        <v>0.9</v>
      </c>
      <c r="F24" s="4">
        <v>58.7</v>
      </c>
      <c r="G24" s="4">
        <v>6771</v>
      </c>
      <c r="H24" s="4">
        <v>146</v>
      </c>
      <c r="I24" s="4">
        <v>96</v>
      </c>
      <c r="J24" s="4">
        <v>46</v>
      </c>
      <c r="K24" s="4">
        <v>6130</v>
      </c>
    </row>
    <row r="25" spans="1:11" ht="28.8" x14ac:dyDescent="0.3">
      <c r="A25" s="4" t="s">
        <v>105</v>
      </c>
      <c r="B25" s="4" t="s">
        <v>106</v>
      </c>
      <c r="C25" s="4">
        <v>659</v>
      </c>
      <c r="D25" s="4">
        <v>99.2</v>
      </c>
      <c r="E25" s="4">
        <v>0.3</v>
      </c>
      <c r="F25" s="4">
        <v>66.2</v>
      </c>
      <c r="G25" s="4">
        <v>4726</v>
      </c>
      <c r="H25" s="4">
        <v>237</v>
      </c>
      <c r="I25" s="4">
        <v>37</v>
      </c>
      <c r="J25" s="4">
        <v>20</v>
      </c>
      <c r="K25" s="4">
        <v>4297</v>
      </c>
    </row>
    <row r="26" spans="1:11" ht="28.8" x14ac:dyDescent="0.3">
      <c r="A26" s="4" t="s">
        <v>53</v>
      </c>
      <c r="B26" s="4" t="s">
        <v>97</v>
      </c>
      <c r="C26" s="4">
        <v>400</v>
      </c>
      <c r="D26" s="4">
        <v>99.5</v>
      </c>
      <c r="E26" s="4">
        <v>2</v>
      </c>
      <c r="F26" s="4">
        <v>69.400000000000006</v>
      </c>
      <c r="G26" s="4">
        <v>3174</v>
      </c>
      <c r="H26" s="4">
        <v>59</v>
      </c>
      <c r="I26" s="4">
        <v>95</v>
      </c>
      <c r="J26" s="4">
        <v>54</v>
      </c>
      <c r="K26" s="4">
        <v>3087</v>
      </c>
    </row>
    <row r="27" spans="1:11" ht="28.8" x14ac:dyDescent="0.3">
      <c r="A27" s="4" t="s">
        <v>107</v>
      </c>
      <c r="B27" s="4" t="s">
        <v>108</v>
      </c>
      <c r="C27" s="4">
        <v>596</v>
      </c>
      <c r="D27" s="4">
        <v>99.9</v>
      </c>
      <c r="E27" s="4">
        <v>1.2</v>
      </c>
      <c r="F27" s="4">
        <v>69.3</v>
      </c>
      <c r="G27" s="4">
        <v>7407</v>
      </c>
      <c r="H27" s="4">
        <v>72</v>
      </c>
      <c r="I27" s="4">
        <v>141</v>
      </c>
      <c r="J27" s="4">
        <v>103</v>
      </c>
      <c r="K27" s="4">
        <v>6519</v>
      </c>
    </row>
  </sheetData>
  <autoFilter ref="A1:K1" xr:uid="{163E5687-07A6-4A6B-BD3A-D5C0F85DA1A7}">
    <sortState xmlns:xlrd2="http://schemas.microsoft.com/office/spreadsheetml/2017/richdata2" ref="A2:K27">
      <sortCondition ref="D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E4DA5-25A9-4DD3-A7FB-D20401ED2B18}">
  <dimension ref="A1:C27"/>
  <sheetViews>
    <sheetView workbookViewId="0">
      <selection activeCell="A2" sqref="A2:C27"/>
    </sheetView>
  </sheetViews>
  <sheetFormatPr defaultRowHeight="14.4" x14ac:dyDescent="0.3"/>
  <cols>
    <col min="1" max="3" width="18.6640625" customWidth="1"/>
  </cols>
  <sheetData>
    <row r="1" spans="1:3" x14ac:dyDescent="0.3">
      <c r="A1" s="1" t="s">
        <v>109</v>
      </c>
      <c r="B1" s="1" t="s">
        <v>110</v>
      </c>
      <c r="C1" s="1" t="s">
        <v>111</v>
      </c>
    </row>
    <row r="2" spans="1:3" x14ac:dyDescent="0.3">
      <c r="A2" t="s">
        <v>53</v>
      </c>
      <c r="B2" t="s">
        <v>11</v>
      </c>
      <c r="C2" t="s">
        <v>54</v>
      </c>
    </row>
    <row r="3" spans="1:3" x14ac:dyDescent="0.3">
      <c r="A3" t="s">
        <v>55</v>
      </c>
      <c r="B3" t="s">
        <v>11</v>
      </c>
      <c r="C3" t="s">
        <v>56</v>
      </c>
    </row>
    <row r="4" spans="1:3" x14ac:dyDescent="0.3">
      <c r="A4" t="s">
        <v>90</v>
      </c>
      <c r="B4" t="s">
        <v>112</v>
      </c>
    </row>
    <row r="5" spans="1:3" x14ac:dyDescent="0.3">
      <c r="A5" t="s">
        <v>92</v>
      </c>
      <c r="B5" t="s">
        <v>11</v>
      </c>
      <c r="C5" t="s">
        <v>113</v>
      </c>
    </row>
    <row r="6" spans="1:3" x14ac:dyDescent="0.3">
      <c r="A6" t="s">
        <v>80</v>
      </c>
      <c r="B6" t="s">
        <v>11</v>
      </c>
      <c r="C6" t="s">
        <v>37</v>
      </c>
    </row>
    <row r="7" spans="1:3" x14ac:dyDescent="0.3">
      <c r="A7" t="s">
        <v>57</v>
      </c>
      <c r="B7" t="s">
        <v>11</v>
      </c>
      <c r="C7" t="s">
        <v>58</v>
      </c>
    </row>
    <row r="8" spans="1:3" x14ac:dyDescent="0.3">
      <c r="A8" t="s">
        <v>100</v>
      </c>
      <c r="B8" t="s">
        <v>11</v>
      </c>
      <c r="C8" t="s">
        <v>12</v>
      </c>
    </row>
    <row r="9" spans="1:3" x14ac:dyDescent="0.3">
      <c r="A9" t="s">
        <v>82</v>
      </c>
      <c r="B9" t="s">
        <v>114</v>
      </c>
    </row>
    <row r="10" spans="1:3" x14ac:dyDescent="0.3">
      <c r="A10" t="s">
        <v>107</v>
      </c>
      <c r="B10" t="s">
        <v>11</v>
      </c>
      <c r="C10" t="s">
        <v>51</v>
      </c>
    </row>
    <row r="11" spans="1:3" x14ac:dyDescent="0.3">
      <c r="A11" t="s">
        <v>88</v>
      </c>
      <c r="B11" t="s">
        <v>112</v>
      </c>
    </row>
    <row r="12" spans="1:3" x14ac:dyDescent="0.3">
      <c r="A12" t="s">
        <v>103</v>
      </c>
      <c r="B12" t="s">
        <v>23</v>
      </c>
      <c r="C12" t="s">
        <v>24</v>
      </c>
    </row>
    <row r="13" spans="1:3" x14ac:dyDescent="0.3">
      <c r="A13" t="s">
        <v>59</v>
      </c>
      <c r="B13" t="s">
        <v>11</v>
      </c>
      <c r="C13" t="s">
        <v>60</v>
      </c>
    </row>
    <row r="14" spans="1:3" x14ac:dyDescent="0.3">
      <c r="A14" t="s">
        <v>89</v>
      </c>
      <c r="B14" t="s">
        <v>11</v>
      </c>
      <c r="C14" t="s">
        <v>19</v>
      </c>
    </row>
    <row r="15" spans="1:3" x14ac:dyDescent="0.3">
      <c r="A15" t="s">
        <v>83</v>
      </c>
      <c r="B15" t="s">
        <v>11</v>
      </c>
      <c r="C15" t="s">
        <v>115</v>
      </c>
    </row>
    <row r="16" spans="1:3" x14ac:dyDescent="0.3">
      <c r="A16" t="s">
        <v>61</v>
      </c>
      <c r="B16" t="s">
        <v>11</v>
      </c>
      <c r="C16" t="s">
        <v>62</v>
      </c>
    </row>
    <row r="17" spans="1:3" x14ac:dyDescent="0.3">
      <c r="A17" t="s">
        <v>84</v>
      </c>
      <c r="B17" t="s">
        <v>114</v>
      </c>
    </row>
    <row r="18" spans="1:3" x14ac:dyDescent="0.3">
      <c r="A18" t="s">
        <v>95</v>
      </c>
      <c r="B18" t="s">
        <v>11</v>
      </c>
      <c r="C18" t="s">
        <v>27</v>
      </c>
    </row>
    <row r="19" spans="1:3" x14ac:dyDescent="0.3">
      <c r="A19" t="s">
        <v>85</v>
      </c>
      <c r="B19" t="s">
        <v>11</v>
      </c>
      <c r="C19" t="s">
        <v>51</v>
      </c>
    </row>
    <row r="20" spans="1:3" x14ac:dyDescent="0.3">
      <c r="A20" t="s">
        <v>63</v>
      </c>
      <c r="B20" t="s">
        <v>11</v>
      </c>
      <c r="C20" t="s">
        <v>64</v>
      </c>
    </row>
    <row r="21" spans="1:3" x14ac:dyDescent="0.3">
      <c r="A21" t="s">
        <v>93</v>
      </c>
      <c r="B21" t="s">
        <v>11</v>
      </c>
      <c r="C21" t="s">
        <v>19</v>
      </c>
    </row>
    <row r="22" spans="1:3" x14ac:dyDescent="0.3">
      <c r="A22" t="s">
        <v>65</v>
      </c>
      <c r="B22" t="s">
        <v>11</v>
      </c>
      <c r="C22" t="s">
        <v>66</v>
      </c>
    </row>
    <row r="23" spans="1:3" x14ac:dyDescent="0.3">
      <c r="A23" t="s">
        <v>67</v>
      </c>
      <c r="B23" t="s">
        <v>11</v>
      </c>
      <c r="C23" t="s">
        <v>68</v>
      </c>
    </row>
    <row r="24" spans="1:3" x14ac:dyDescent="0.3">
      <c r="A24" t="s">
        <v>86</v>
      </c>
      <c r="B24" t="s">
        <v>114</v>
      </c>
    </row>
    <row r="25" spans="1:3" x14ac:dyDescent="0.3">
      <c r="A25" t="s">
        <v>94</v>
      </c>
      <c r="B25" t="s">
        <v>11</v>
      </c>
      <c r="C25" t="s">
        <v>37</v>
      </c>
    </row>
    <row r="26" spans="1:3" x14ac:dyDescent="0.3">
      <c r="A26" t="s">
        <v>87</v>
      </c>
      <c r="B26" t="s">
        <v>112</v>
      </c>
    </row>
    <row r="27" spans="1:3" x14ac:dyDescent="0.3">
      <c r="A27" t="s">
        <v>105</v>
      </c>
      <c r="B27" t="s">
        <v>11</v>
      </c>
      <c r="C27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0851-7D73-444B-9A3D-13FFFB25F5DA}">
  <dimension ref="A1:K15"/>
  <sheetViews>
    <sheetView workbookViewId="0">
      <selection activeCell="H27" sqref="H27"/>
    </sheetView>
  </sheetViews>
  <sheetFormatPr defaultRowHeight="14.4" x14ac:dyDescent="0.3"/>
  <sheetData>
    <row r="1" spans="1:11" x14ac:dyDescent="0.3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</row>
    <row r="2" spans="1:11" x14ac:dyDescent="0.3">
      <c r="A2" t="s">
        <v>14</v>
      </c>
      <c r="B2" t="s">
        <v>106</v>
      </c>
      <c r="C2">
        <v>659</v>
      </c>
      <c r="D2">
        <v>100</v>
      </c>
      <c r="E2">
        <v>0.7</v>
      </c>
      <c r="F2">
        <v>66</v>
      </c>
      <c r="G2">
        <v>4903</v>
      </c>
      <c r="H2">
        <v>1</v>
      </c>
      <c r="I2">
        <v>4903</v>
      </c>
      <c r="J2">
        <v>4903</v>
      </c>
      <c r="K2">
        <v>4372</v>
      </c>
    </row>
    <row r="3" spans="1:11" x14ac:dyDescent="0.3">
      <c r="A3" t="s">
        <v>25</v>
      </c>
      <c r="B3" t="s">
        <v>96</v>
      </c>
      <c r="C3">
        <v>546</v>
      </c>
      <c r="D3">
        <v>100</v>
      </c>
      <c r="E3">
        <v>0</v>
      </c>
      <c r="F3">
        <v>56.3</v>
      </c>
      <c r="G3">
        <v>5306</v>
      </c>
      <c r="H3">
        <v>1</v>
      </c>
      <c r="I3">
        <v>5306</v>
      </c>
      <c r="J3">
        <v>5306</v>
      </c>
      <c r="K3">
        <v>4774</v>
      </c>
    </row>
    <row r="4" spans="1:11" x14ac:dyDescent="0.3">
      <c r="A4" t="s">
        <v>38</v>
      </c>
      <c r="B4" t="s">
        <v>116</v>
      </c>
      <c r="C4">
        <v>316</v>
      </c>
      <c r="D4">
        <v>99.8</v>
      </c>
      <c r="E4">
        <v>1.9</v>
      </c>
      <c r="F4">
        <v>39.9</v>
      </c>
      <c r="G4">
        <v>6384</v>
      </c>
      <c r="H4">
        <v>1</v>
      </c>
      <c r="I4">
        <v>6384</v>
      </c>
      <c r="J4">
        <v>6384</v>
      </c>
      <c r="K4">
        <v>5415</v>
      </c>
    </row>
    <row r="5" spans="1:11" x14ac:dyDescent="0.3">
      <c r="A5" t="s">
        <v>41</v>
      </c>
      <c r="B5" t="s">
        <v>98</v>
      </c>
      <c r="C5">
        <v>574</v>
      </c>
      <c r="D5">
        <v>100</v>
      </c>
      <c r="E5">
        <v>1.1000000000000001</v>
      </c>
      <c r="F5">
        <v>61.7</v>
      </c>
      <c r="G5">
        <v>9378</v>
      </c>
      <c r="H5">
        <v>6</v>
      </c>
      <c r="I5">
        <v>4810</v>
      </c>
      <c r="J5">
        <v>1563</v>
      </c>
      <c r="K5">
        <v>8525</v>
      </c>
    </row>
    <row r="6" spans="1:11" x14ac:dyDescent="0.3">
      <c r="A6" t="s">
        <v>49</v>
      </c>
      <c r="B6" t="s">
        <v>108</v>
      </c>
      <c r="C6">
        <v>596</v>
      </c>
      <c r="D6">
        <v>99.9</v>
      </c>
      <c r="E6">
        <v>1.6</v>
      </c>
      <c r="F6">
        <v>68.900000000000006</v>
      </c>
      <c r="G6">
        <v>7862</v>
      </c>
      <c r="H6">
        <v>3</v>
      </c>
      <c r="I6">
        <v>4339</v>
      </c>
      <c r="J6">
        <v>2621</v>
      </c>
      <c r="K6">
        <v>6872</v>
      </c>
    </row>
    <row r="7" spans="1:11" x14ac:dyDescent="0.3">
      <c r="A7" t="s">
        <v>9</v>
      </c>
      <c r="B7" t="s">
        <v>98</v>
      </c>
      <c r="C7">
        <v>427</v>
      </c>
      <c r="D7">
        <v>99.5</v>
      </c>
      <c r="E7">
        <v>0</v>
      </c>
      <c r="F7">
        <v>63.7</v>
      </c>
      <c r="G7">
        <v>7083</v>
      </c>
      <c r="H7">
        <v>3</v>
      </c>
      <c r="I7">
        <v>7063</v>
      </c>
      <c r="J7">
        <v>2361</v>
      </c>
      <c r="K7">
        <v>6340</v>
      </c>
    </row>
    <row r="8" spans="1:11" x14ac:dyDescent="0.3">
      <c r="A8" t="s">
        <v>47</v>
      </c>
      <c r="B8" t="s">
        <v>98</v>
      </c>
      <c r="C8">
        <v>574</v>
      </c>
      <c r="D8">
        <v>100</v>
      </c>
      <c r="E8">
        <v>0.1</v>
      </c>
      <c r="F8">
        <v>61.7</v>
      </c>
      <c r="G8">
        <v>8958</v>
      </c>
      <c r="H8">
        <v>4</v>
      </c>
      <c r="I8">
        <v>5329</v>
      </c>
      <c r="J8">
        <v>2240</v>
      </c>
      <c r="K8">
        <v>7960</v>
      </c>
    </row>
    <row r="9" spans="1:11" x14ac:dyDescent="0.3">
      <c r="A9" t="s">
        <v>32</v>
      </c>
      <c r="B9" t="s">
        <v>98</v>
      </c>
      <c r="C9">
        <v>427</v>
      </c>
      <c r="D9">
        <v>100</v>
      </c>
      <c r="E9">
        <v>0.8</v>
      </c>
      <c r="F9">
        <v>66.599999999999994</v>
      </c>
      <c r="G9">
        <v>8317</v>
      </c>
      <c r="H9">
        <v>7</v>
      </c>
      <c r="I9">
        <v>1540</v>
      </c>
      <c r="J9">
        <v>1188</v>
      </c>
      <c r="K9">
        <v>7725</v>
      </c>
    </row>
    <row r="10" spans="1:11" x14ac:dyDescent="0.3">
      <c r="A10" t="s">
        <v>44</v>
      </c>
      <c r="B10" t="s">
        <v>96</v>
      </c>
      <c r="C10">
        <v>1005</v>
      </c>
      <c r="D10">
        <v>99.7</v>
      </c>
      <c r="E10">
        <v>0.4</v>
      </c>
      <c r="F10">
        <v>56</v>
      </c>
      <c r="G10">
        <v>5592</v>
      </c>
      <c r="H10">
        <v>1</v>
      </c>
      <c r="I10">
        <v>5592</v>
      </c>
      <c r="J10">
        <v>5592</v>
      </c>
      <c r="K10">
        <v>5108</v>
      </c>
    </row>
    <row r="11" spans="1:11" x14ac:dyDescent="0.3">
      <c r="A11" t="s">
        <v>35</v>
      </c>
      <c r="B11" t="s">
        <v>104</v>
      </c>
      <c r="C11">
        <v>813</v>
      </c>
      <c r="D11">
        <v>100</v>
      </c>
      <c r="E11">
        <v>1.7</v>
      </c>
      <c r="F11">
        <v>60.8</v>
      </c>
      <c r="G11">
        <v>7150</v>
      </c>
      <c r="H11">
        <v>1</v>
      </c>
      <c r="I11">
        <v>7150</v>
      </c>
      <c r="J11">
        <v>7150</v>
      </c>
      <c r="K11">
        <v>6376</v>
      </c>
    </row>
    <row r="12" spans="1:11" x14ac:dyDescent="0.3">
      <c r="A12" t="s">
        <v>21</v>
      </c>
      <c r="B12" t="s">
        <v>104</v>
      </c>
      <c r="C12">
        <v>813</v>
      </c>
      <c r="D12">
        <v>100</v>
      </c>
      <c r="E12">
        <v>0.8</v>
      </c>
      <c r="F12">
        <v>58.9</v>
      </c>
      <c r="G12">
        <v>6737</v>
      </c>
      <c r="H12">
        <v>3</v>
      </c>
      <c r="I12">
        <v>6672</v>
      </c>
      <c r="J12">
        <v>2246</v>
      </c>
      <c r="K12">
        <v>6049</v>
      </c>
    </row>
    <row r="13" spans="1:11" x14ac:dyDescent="0.3">
      <c r="A13" t="s">
        <v>28</v>
      </c>
      <c r="B13" t="s">
        <v>104</v>
      </c>
      <c r="C13">
        <v>813</v>
      </c>
      <c r="D13">
        <v>99.7</v>
      </c>
      <c r="E13">
        <v>2.1</v>
      </c>
      <c r="F13">
        <v>59.5</v>
      </c>
      <c r="G13">
        <v>7017</v>
      </c>
      <c r="H13">
        <v>1</v>
      </c>
      <c r="I13">
        <v>7017</v>
      </c>
      <c r="J13">
        <v>7017</v>
      </c>
      <c r="K13">
        <v>6424</v>
      </c>
    </row>
    <row r="14" spans="1:11" x14ac:dyDescent="0.3">
      <c r="A14" t="s">
        <v>17</v>
      </c>
      <c r="B14" t="s">
        <v>104</v>
      </c>
      <c r="C14">
        <v>813</v>
      </c>
      <c r="D14">
        <v>100</v>
      </c>
      <c r="E14">
        <v>2.1</v>
      </c>
      <c r="F14">
        <v>59.2</v>
      </c>
      <c r="G14">
        <v>6973</v>
      </c>
      <c r="H14">
        <v>3</v>
      </c>
      <c r="I14">
        <v>6677</v>
      </c>
      <c r="J14">
        <v>2324</v>
      </c>
      <c r="K14">
        <v>6406</v>
      </c>
    </row>
    <row r="15" spans="1:11" x14ac:dyDescent="0.3">
      <c r="A15" t="s">
        <v>30</v>
      </c>
      <c r="B15" t="s">
        <v>104</v>
      </c>
      <c r="C15">
        <v>813</v>
      </c>
      <c r="D15">
        <v>99.7</v>
      </c>
      <c r="E15">
        <v>1.1000000000000001</v>
      </c>
      <c r="F15">
        <v>58.6</v>
      </c>
      <c r="G15">
        <v>7038</v>
      </c>
      <c r="H15">
        <v>2</v>
      </c>
      <c r="I15">
        <v>6983</v>
      </c>
      <c r="J15">
        <v>3519</v>
      </c>
      <c r="K15">
        <v>6281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A78C-E569-4AB7-9353-E8ADF1CDC0FB}">
  <dimension ref="A1:C15"/>
  <sheetViews>
    <sheetView workbookViewId="0">
      <selection activeCell="A2" sqref="A2:D15"/>
    </sheetView>
  </sheetViews>
  <sheetFormatPr defaultRowHeight="14.4" x14ac:dyDescent="0.3"/>
  <cols>
    <col min="1" max="1" width="21.33203125" customWidth="1"/>
  </cols>
  <sheetData>
    <row r="1" spans="1:3" x14ac:dyDescent="0.3">
      <c r="A1" s="1" t="s">
        <v>117</v>
      </c>
      <c r="B1" s="1" t="s">
        <v>110</v>
      </c>
      <c r="C1" s="1" t="s">
        <v>111</v>
      </c>
    </row>
    <row r="2" spans="1:3" x14ac:dyDescent="0.3">
      <c r="A2" t="s">
        <v>9</v>
      </c>
      <c r="B2" t="s">
        <v>11</v>
      </c>
      <c r="C2" t="s">
        <v>12</v>
      </c>
    </row>
    <row r="3" spans="1:3" x14ac:dyDescent="0.3">
      <c r="A3" t="s">
        <v>14</v>
      </c>
      <c r="B3" t="s">
        <v>11</v>
      </c>
      <c r="C3" t="s">
        <v>16</v>
      </c>
    </row>
    <row r="4" spans="1:3" x14ac:dyDescent="0.3">
      <c r="A4" t="s">
        <v>17</v>
      </c>
      <c r="B4" t="s">
        <v>11</v>
      </c>
      <c r="C4" t="s">
        <v>19</v>
      </c>
    </row>
    <row r="5" spans="1:3" x14ac:dyDescent="0.3">
      <c r="A5" t="s">
        <v>21</v>
      </c>
      <c r="B5" t="s">
        <v>23</v>
      </c>
      <c r="C5" t="s">
        <v>24</v>
      </c>
    </row>
    <row r="6" spans="1:3" x14ac:dyDescent="0.3">
      <c r="A6" t="s">
        <v>25</v>
      </c>
      <c r="B6" t="s">
        <v>11</v>
      </c>
      <c r="C6" t="s">
        <v>27</v>
      </c>
    </row>
    <row r="7" spans="1:3" x14ac:dyDescent="0.3">
      <c r="A7" t="s">
        <v>28</v>
      </c>
      <c r="B7" t="s">
        <v>11</v>
      </c>
      <c r="C7" t="s">
        <v>19</v>
      </c>
    </row>
    <row r="8" spans="1:3" x14ac:dyDescent="0.3">
      <c r="A8" t="s">
        <v>30</v>
      </c>
      <c r="B8" t="s">
        <v>23</v>
      </c>
      <c r="C8" t="s">
        <v>24</v>
      </c>
    </row>
    <row r="9" spans="1:3" x14ac:dyDescent="0.3">
      <c r="A9" t="s">
        <v>32</v>
      </c>
      <c r="B9" t="s">
        <v>11</v>
      </c>
      <c r="C9" t="s">
        <v>34</v>
      </c>
    </row>
    <row r="10" spans="1:3" x14ac:dyDescent="0.3">
      <c r="A10" t="s">
        <v>35</v>
      </c>
      <c r="B10" t="s">
        <v>11</v>
      </c>
      <c r="C10" t="s">
        <v>37</v>
      </c>
    </row>
    <row r="11" spans="1:3" x14ac:dyDescent="0.3">
      <c r="A11" t="s">
        <v>38</v>
      </c>
      <c r="B11" t="s">
        <v>11</v>
      </c>
      <c r="C11" t="s">
        <v>40</v>
      </c>
    </row>
    <row r="12" spans="1:3" x14ac:dyDescent="0.3">
      <c r="A12" t="s">
        <v>41</v>
      </c>
      <c r="B12" t="s">
        <v>11</v>
      </c>
      <c r="C12" t="s">
        <v>43</v>
      </c>
    </row>
    <row r="13" spans="1:3" x14ac:dyDescent="0.3">
      <c r="A13" t="s">
        <v>44</v>
      </c>
      <c r="B13" t="s">
        <v>11</v>
      </c>
      <c r="C13" t="s">
        <v>46</v>
      </c>
    </row>
    <row r="14" spans="1:3" x14ac:dyDescent="0.3">
      <c r="A14" t="s">
        <v>47</v>
      </c>
      <c r="B14" t="s">
        <v>11</v>
      </c>
      <c r="C14" t="s">
        <v>43</v>
      </c>
    </row>
    <row r="15" spans="1:3" x14ac:dyDescent="0.3">
      <c r="A15" t="s">
        <v>49</v>
      </c>
      <c r="B15" t="s">
        <v>11</v>
      </c>
      <c r="C15" t="s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A729-639E-418A-AE36-8A5F335115C6}">
  <dimension ref="A1:C6"/>
  <sheetViews>
    <sheetView workbookViewId="0">
      <selection activeCell="B2" sqref="B2:C6"/>
    </sheetView>
  </sheetViews>
  <sheetFormatPr defaultRowHeight="14.4" x14ac:dyDescent="0.3"/>
  <sheetData>
    <row r="1" spans="1:3" x14ac:dyDescent="0.3">
      <c r="A1" t="s">
        <v>118</v>
      </c>
      <c r="B1" t="s">
        <v>119</v>
      </c>
      <c r="C1" t="s">
        <v>120</v>
      </c>
    </row>
    <row r="2" spans="1:3" x14ac:dyDescent="0.3">
      <c r="A2" t="s">
        <v>121</v>
      </c>
      <c r="B2" s="5">
        <v>87.139640005063896</v>
      </c>
      <c r="C2" s="5">
        <v>1.19282552541278</v>
      </c>
    </row>
    <row r="3" spans="1:3" x14ac:dyDescent="0.3">
      <c r="A3" t="s">
        <v>122</v>
      </c>
      <c r="B3" s="5">
        <v>1.0115677105223</v>
      </c>
      <c r="C3" s="5">
        <v>0.25430292904523599</v>
      </c>
    </row>
    <row r="4" spans="1:3" x14ac:dyDescent="0.3">
      <c r="A4" t="s">
        <v>123</v>
      </c>
      <c r="B4" s="5">
        <v>2.7207555419019198</v>
      </c>
      <c r="C4" s="5">
        <v>0.17671641502420701</v>
      </c>
    </row>
    <row r="5" spans="1:3" x14ac:dyDescent="0.3">
      <c r="A5" t="s">
        <v>124</v>
      </c>
      <c r="B5" s="5">
        <v>2.24695916714803</v>
      </c>
      <c r="C5" s="5">
        <v>0.11460762488609499</v>
      </c>
    </row>
    <row r="6" spans="1:3" x14ac:dyDescent="0.3">
      <c r="A6" t="s">
        <v>125</v>
      </c>
      <c r="B6" s="5">
        <v>6.8810775753637596</v>
      </c>
      <c r="C6" s="5">
        <v>0.96519265576708901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62D31-6A27-4181-A017-30F2157B58F0}">
  <dimension ref="A1:E24"/>
  <sheetViews>
    <sheetView workbookViewId="0">
      <selection activeCell="A20" sqref="A20"/>
    </sheetView>
  </sheetViews>
  <sheetFormatPr defaultRowHeight="14.4" x14ac:dyDescent="0.3"/>
  <cols>
    <col min="1" max="1" width="29" customWidth="1"/>
    <col min="2" max="5" width="27.109375" customWidth="1"/>
  </cols>
  <sheetData>
    <row r="1" spans="1:5" x14ac:dyDescent="0.3">
      <c r="A1" s="1" t="s">
        <v>117</v>
      </c>
      <c r="B1" s="1" t="s">
        <v>126</v>
      </c>
      <c r="C1" s="1" t="s">
        <v>127</v>
      </c>
      <c r="D1" s="1" t="s">
        <v>128</v>
      </c>
      <c r="E1" s="1" t="s">
        <v>129</v>
      </c>
    </row>
    <row r="2" spans="1:5" x14ac:dyDescent="0.3">
      <c r="A2" s="1" t="s">
        <v>47</v>
      </c>
      <c r="B2">
        <v>5.5306908289219029E-4</v>
      </c>
      <c r="C2">
        <v>6.8697716328466256E-4</v>
      </c>
      <c r="D2">
        <v>6.0998837390110561E-4</v>
      </c>
      <c r="E2">
        <v>6.5453287067331024E-4</v>
      </c>
    </row>
    <row r="3" spans="1:5" x14ac:dyDescent="0.3">
      <c r="A3" s="1" t="s">
        <v>41</v>
      </c>
      <c r="B3">
        <v>1.904507712129834E-3</v>
      </c>
      <c r="C3">
        <v>2.3539877897231398E-3</v>
      </c>
      <c r="D3">
        <v>1.8661265383363549E-3</v>
      </c>
      <c r="E3">
        <v>2.0332977157179631E-3</v>
      </c>
    </row>
    <row r="4" spans="1:5" x14ac:dyDescent="0.3">
      <c r="A4" s="1" t="s">
        <v>44</v>
      </c>
      <c r="B4">
        <v>3.0376557693097919E-3</v>
      </c>
      <c r="C4">
        <v>3.070253739466876E-3</v>
      </c>
      <c r="D4">
        <v>2.09300663985752E-3</v>
      </c>
      <c r="E4">
        <v>2.1108887211455881E-3</v>
      </c>
    </row>
    <row r="5" spans="1:5" x14ac:dyDescent="0.3">
      <c r="A5" s="1" t="s">
        <v>95</v>
      </c>
      <c r="B5">
        <v>1.5175683560672321E-3</v>
      </c>
      <c r="C5">
        <v>8.461278509153328E-3</v>
      </c>
      <c r="D5">
        <v>4.6916712245942491E-3</v>
      </c>
      <c r="E5">
        <v>3.8350763631767909E-3</v>
      </c>
    </row>
    <row r="6" spans="1:5" x14ac:dyDescent="0.3">
      <c r="A6" s="1" t="s">
        <v>32</v>
      </c>
      <c r="B6">
        <v>6.116213285946067E-2</v>
      </c>
      <c r="C6">
        <v>2.5841975404413131E-2</v>
      </c>
      <c r="D6">
        <v>9.643642067384087E-3</v>
      </c>
      <c r="E6">
        <v>2.7942058813872361E-2</v>
      </c>
    </row>
    <row r="7" spans="1:5" x14ac:dyDescent="0.3">
      <c r="A7" s="1" t="s">
        <v>38</v>
      </c>
      <c r="B7">
        <v>3.2455096864611462E-2</v>
      </c>
      <c r="C7">
        <v>3.56833089745478E-2</v>
      </c>
      <c r="D7">
        <v>1.832602664486695E-2</v>
      </c>
      <c r="E7">
        <v>8.6343729478867745E-2</v>
      </c>
    </row>
    <row r="8" spans="1:5" x14ac:dyDescent="0.3">
      <c r="A8" s="1" t="s">
        <v>55</v>
      </c>
      <c r="B8">
        <v>0.14944803899178671</v>
      </c>
      <c r="C8">
        <v>7.0263085012266371E-2</v>
      </c>
      <c r="D8">
        <v>1.6067078820478579E-2</v>
      </c>
      <c r="E8">
        <v>0.1061740107034994</v>
      </c>
    </row>
    <row r="9" spans="1:5" x14ac:dyDescent="0.3">
      <c r="A9" s="1" t="s">
        <v>61</v>
      </c>
      <c r="B9">
        <v>0.17647292791230501</v>
      </c>
      <c r="C9">
        <v>0.1142021920438957</v>
      </c>
      <c r="D9">
        <v>3.1693185578055609E-2</v>
      </c>
      <c r="E9">
        <v>0.13088063533715791</v>
      </c>
    </row>
    <row r="10" spans="1:5" x14ac:dyDescent="0.3">
      <c r="A10" s="1" t="s">
        <v>25</v>
      </c>
      <c r="B10">
        <v>2.913530717717621E-2</v>
      </c>
      <c r="C10">
        <v>0.20101748437772821</v>
      </c>
      <c r="D10">
        <v>0.111913386417014</v>
      </c>
      <c r="E10">
        <v>8.2901764616155463E-2</v>
      </c>
    </row>
    <row r="11" spans="1:5" x14ac:dyDescent="0.3">
      <c r="A11" s="1" t="s">
        <v>67</v>
      </c>
      <c r="B11">
        <v>0.55992855000554165</v>
      </c>
      <c r="C11">
        <v>0.23879415373141599</v>
      </c>
      <c r="D11">
        <v>4.2949949570295971E-2</v>
      </c>
      <c r="E11">
        <v>0.20257698141401601</v>
      </c>
    </row>
    <row r="12" spans="1:5" x14ac:dyDescent="0.3">
      <c r="A12" s="1" t="s">
        <v>63</v>
      </c>
      <c r="B12">
        <v>0.32497360726696012</v>
      </c>
      <c r="C12">
        <v>0.2466152409302802</v>
      </c>
      <c r="D12">
        <v>3.033262118187793E-2</v>
      </c>
      <c r="E12">
        <v>0.31889513379024809</v>
      </c>
    </row>
    <row r="13" spans="1:5" x14ac:dyDescent="0.3">
      <c r="A13" s="1" t="s">
        <v>53</v>
      </c>
      <c r="B13">
        <v>0.57123155953633975</v>
      </c>
      <c r="C13">
        <v>0.2481563422610634</v>
      </c>
      <c r="D13">
        <v>0.1289812993825343</v>
      </c>
      <c r="E13">
        <v>0.79783109888457271</v>
      </c>
    </row>
    <row r="14" spans="1:5" x14ac:dyDescent="0.3">
      <c r="A14" s="1" t="s">
        <v>59</v>
      </c>
      <c r="B14">
        <v>0.62873979853590112</v>
      </c>
      <c r="C14">
        <v>0.37432728932136877</v>
      </c>
      <c r="D14">
        <v>9.8299438472231201E-2</v>
      </c>
      <c r="E14">
        <v>0.53668014665849773</v>
      </c>
    </row>
    <row r="15" spans="1:5" x14ac:dyDescent="0.3">
      <c r="A15" s="1" t="s">
        <v>65</v>
      </c>
      <c r="B15">
        <v>0.31619060398343729</v>
      </c>
      <c r="C15">
        <v>0.47082144928446951</v>
      </c>
      <c r="D15">
        <v>6.2225205914664593E-2</v>
      </c>
      <c r="E15">
        <v>0.45183419081807608</v>
      </c>
    </row>
    <row r="16" spans="1:5" x14ac:dyDescent="0.3">
      <c r="A16" s="1" t="s">
        <v>57</v>
      </c>
      <c r="B16">
        <v>0.5939815094954165</v>
      </c>
      <c r="C16">
        <v>0.47510203316541549</v>
      </c>
      <c r="D16">
        <v>0.28051990985435782</v>
      </c>
      <c r="E16">
        <v>1.3097681217346711</v>
      </c>
    </row>
    <row r="17" spans="1:5" x14ac:dyDescent="0.3">
      <c r="A17" s="1" t="s">
        <v>35</v>
      </c>
      <c r="B17">
        <v>0.72856884052243887</v>
      </c>
      <c r="C17">
        <v>1.640209801019703</v>
      </c>
      <c r="D17">
        <v>0.70771176502843847</v>
      </c>
      <c r="E17">
        <v>0.68724940555185277</v>
      </c>
    </row>
    <row r="18" spans="1:5" x14ac:dyDescent="0.3">
      <c r="A18" s="1" t="s">
        <v>49</v>
      </c>
      <c r="B18">
        <v>2.221394973450896</v>
      </c>
      <c r="C18">
        <v>1.7962992739714909</v>
      </c>
      <c r="D18">
        <v>1.050350676902857</v>
      </c>
      <c r="E18">
        <v>1.586253914942986</v>
      </c>
    </row>
    <row r="19" spans="1:5" x14ac:dyDescent="0.3">
      <c r="A19" s="1" t="s">
        <v>14</v>
      </c>
      <c r="B19">
        <v>0.6879317864595883</v>
      </c>
      <c r="C19">
        <v>1.9085595307850289</v>
      </c>
      <c r="D19">
        <v>0.52488602222346248</v>
      </c>
      <c r="E19">
        <v>0.2999861493149043</v>
      </c>
    </row>
    <row r="20" spans="1:5" x14ac:dyDescent="0.3">
      <c r="A20" s="1" t="s">
        <v>9</v>
      </c>
      <c r="B20">
        <v>1.3293432084968571</v>
      </c>
      <c r="C20">
        <v>2.1734125615904172</v>
      </c>
      <c r="D20">
        <v>1.118899335384572</v>
      </c>
      <c r="E20">
        <v>1.6420305503648229</v>
      </c>
    </row>
    <row r="21" spans="1:5" x14ac:dyDescent="0.3">
      <c r="A21" s="1" t="s">
        <v>17</v>
      </c>
      <c r="B21">
        <v>7.1409432659911243</v>
      </c>
      <c r="C21">
        <v>13.606739574058009</v>
      </c>
      <c r="D21">
        <v>4.2539082499391858</v>
      </c>
      <c r="E21">
        <v>3.709481306075459</v>
      </c>
    </row>
    <row r="22" spans="1:5" x14ac:dyDescent="0.3">
      <c r="A22" s="1" t="s">
        <v>28</v>
      </c>
      <c r="B22">
        <v>10.84459018232044</v>
      </c>
      <c r="C22">
        <v>21.196467552616991</v>
      </c>
      <c r="D22">
        <v>6.2937337355019629</v>
      </c>
      <c r="E22">
        <v>5.7653829773710363</v>
      </c>
    </row>
    <row r="23" spans="1:5" x14ac:dyDescent="0.3">
      <c r="A23" s="1" t="s">
        <v>21</v>
      </c>
      <c r="B23">
        <v>33.145862191371513</v>
      </c>
      <c r="C23">
        <v>24.51217041867827</v>
      </c>
      <c r="D23">
        <v>37.305606931089031</v>
      </c>
      <c r="E23">
        <v>35.468291260911677</v>
      </c>
    </row>
    <row r="24" spans="1:5" x14ac:dyDescent="0.3">
      <c r="A24" s="1" t="s">
        <v>30</v>
      </c>
      <c r="B24">
        <v>40.450633617837802</v>
      </c>
      <c r="C24">
        <v>30.65074423557164</v>
      </c>
      <c r="D24">
        <v>47.904690747250037</v>
      </c>
      <c r="E24">
        <v>46.780862767546878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2A46A-201C-46E3-B5EC-309AC70D1E6E}">
  <dimension ref="A1:AP30"/>
  <sheetViews>
    <sheetView tabSelected="1" topLeftCell="J1" workbookViewId="0">
      <selection activeCell="M32" sqref="M32"/>
    </sheetView>
  </sheetViews>
  <sheetFormatPr defaultRowHeight="14.4" x14ac:dyDescent="0.3"/>
  <cols>
    <col min="23" max="23" width="22.44140625" customWidth="1"/>
    <col min="26" max="26" width="18.33203125" customWidth="1"/>
  </cols>
  <sheetData>
    <row r="1" spans="1:42" x14ac:dyDescent="0.3"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  <c r="Y1" s="1" t="s">
        <v>153</v>
      </c>
      <c r="Z1" s="1" t="s">
        <v>154</v>
      </c>
      <c r="AA1" s="1" t="s">
        <v>155</v>
      </c>
      <c r="AB1" s="1" t="s">
        <v>156</v>
      </c>
      <c r="AC1" s="1" t="s">
        <v>157</v>
      </c>
      <c r="AD1" s="1" t="s">
        <v>158</v>
      </c>
      <c r="AE1" s="1" t="s">
        <v>159</v>
      </c>
      <c r="AF1" s="1" t="s">
        <v>160</v>
      </c>
      <c r="AG1" s="1" t="s">
        <v>161</v>
      </c>
      <c r="AH1" s="1" t="s">
        <v>162</v>
      </c>
      <c r="AI1" s="1" t="s">
        <v>163</v>
      </c>
      <c r="AJ1" s="1" t="s">
        <v>164</v>
      </c>
      <c r="AK1" s="1" t="s">
        <v>165</v>
      </c>
      <c r="AL1" s="1" t="s">
        <v>166</v>
      </c>
      <c r="AM1" s="1" t="s">
        <v>167</v>
      </c>
      <c r="AN1" s="1" t="s">
        <v>168</v>
      </c>
      <c r="AO1" s="1" t="s">
        <v>169</v>
      </c>
      <c r="AP1" s="1" t="s">
        <v>170</v>
      </c>
    </row>
    <row r="2" spans="1:42" x14ac:dyDescent="0.3">
      <c r="A2" s="1">
        <v>0</v>
      </c>
      <c r="B2" t="s">
        <v>53</v>
      </c>
      <c r="C2">
        <v>56</v>
      </c>
      <c r="D2">
        <v>56</v>
      </c>
      <c r="E2">
        <v>52</v>
      </c>
      <c r="F2">
        <v>45</v>
      </c>
      <c r="G2">
        <v>33</v>
      </c>
      <c r="H2">
        <v>23</v>
      </c>
      <c r="I2">
        <v>3131258</v>
      </c>
      <c r="J2">
        <v>3131258</v>
      </c>
      <c r="K2">
        <v>3119549</v>
      </c>
      <c r="L2">
        <v>3059417</v>
      </c>
      <c r="M2">
        <v>2840729</v>
      </c>
      <c r="N2">
        <v>2477775</v>
      </c>
      <c r="O2">
        <v>56</v>
      </c>
      <c r="P2">
        <v>347631</v>
      </c>
      <c r="Q2">
        <v>3131258</v>
      </c>
      <c r="R2">
        <v>98698274</v>
      </c>
      <c r="S2">
        <v>88838</v>
      </c>
      <c r="T2">
        <v>53595</v>
      </c>
      <c r="U2">
        <v>11</v>
      </c>
      <c r="V2">
        <v>21</v>
      </c>
      <c r="W2" t="s">
        <v>13</v>
      </c>
      <c r="X2" t="s">
        <v>13</v>
      </c>
      <c r="Y2" t="s">
        <v>13</v>
      </c>
      <c r="Z2" t="s">
        <v>13</v>
      </c>
      <c r="AA2" t="s">
        <v>13</v>
      </c>
      <c r="AB2" t="s">
        <v>13</v>
      </c>
      <c r="AC2" t="s">
        <v>13</v>
      </c>
      <c r="AD2" t="s">
        <v>171</v>
      </c>
      <c r="AE2">
        <v>3131258</v>
      </c>
      <c r="AF2" t="s">
        <v>13</v>
      </c>
      <c r="AG2" t="s">
        <v>13</v>
      </c>
      <c r="AH2">
        <v>0</v>
      </c>
      <c r="AI2" t="s">
        <v>13</v>
      </c>
      <c r="AJ2" t="s">
        <v>13</v>
      </c>
      <c r="AK2" t="s">
        <v>13</v>
      </c>
      <c r="AL2" t="s">
        <v>13</v>
      </c>
      <c r="AM2" t="s">
        <v>13</v>
      </c>
      <c r="AN2" t="s">
        <v>13</v>
      </c>
      <c r="AO2" t="s">
        <v>13</v>
      </c>
      <c r="AP2" t="s">
        <v>13</v>
      </c>
    </row>
    <row r="3" spans="1:42" x14ac:dyDescent="0.3">
      <c r="A3" s="1">
        <v>1</v>
      </c>
      <c r="B3" t="s">
        <v>55</v>
      </c>
      <c r="C3">
        <v>49</v>
      </c>
      <c r="D3">
        <v>49</v>
      </c>
      <c r="E3">
        <v>15</v>
      </c>
      <c r="F3">
        <v>4</v>
      </c>
      <c r="G3">
        <v>1</v>
      </c>
      <c r="H3">
        <v>0</v>
      </c>
      <c r="I3">
        <v>257569</v>
      </c>
      <c r="J3">
        <v>257569</v>
      </c>
      <c r="K3">
        <v>171641</v>
      </c>
      <c r="L3">
        <v>86724</v>
      </c>
      <c r="M3">
        <v>33471</v>
      </c>
      <c r="N3">
        <v>0</v>
      </c>
      <c r="O3">
        <v>49</v>
      </c>
      <c r="P3">
        <v>33471</v>
      </c>
      <c r="Q3">
        <v>257569</v>
      </c>
      <c r="R3">
        <v>98698274</v>
      </c>
      <c r="S3">
        <v>8432</v>
      </c>
      <c r="T3">
        <v>3382</v>
      </c>
      <c r="U3">
        <v>9</v>
      </c>
      <c r="V3">
        <v>21</v>
      </c>
      <c r="W3" t="s">
        <v>172</v>
      </c>
      <c r="X3" t="s">
        <v>172</v>
      </c>
      <c r="Y3" t="s">
        <v>172</v>
      </c>
      <c r="Z3" t="s">
        <v>172</v>
      </c>
      <c r="AA3" t="s">
        <v>172</v>
      </c>
      <c r="AB3" t="s">
        <v>172</v>
      </c>
      <c r="AC3" t="s">
        <v>172</v>
      </c>
      <c r="AD3" t="s">
        <v>173</v>
      </c>
      <c r="AE3">
        <v>256506</v>
      </c>
      <c r="AF3" t="s">
        <v>174</v>
      </c>
      <c r="AG3" t="s">
        <v>175</v>
      </c>
      <c r="AH3">
        <v>0</v>
      </c>
      <c r="AI3" t="s">
        <v>176</v>
      </c>
      <c r="AJ3" t="s">
        <v>177</v>
      </c>
      <c r="AK3" t="s">
        <v>178</v>
      </c>
      <c r="AL3" t="s">
        <v>179</v>
      </c>
      <c r="AM3" t="s">
        <v>13</v>
      </c>
      <c r="AN3" t="s">
        <v>13</v>
      </c>
      <c r="AO3" t="s">
        <v>13</v>
      </c>
      <c r="AP3" t="s">
        <v>13</v>
      </c>
    </row>
    <row r="4" spans="1:42" x14ac:dyDescent="0.3">
      <c r="A4" s="1">
        <v>2</v>
      </c>
      <c r="B4" t="s">
        <v>90</v>
      </c>
      <c r="C4">
        <v>264</v>
      </c>
      <c r="D4">
        <v>264</v>
      </c>
      <c r="E4">
        <v>24</v>
      </c>
      <c r="F4">
        <v>14</v>
      </c>
      <c r="G4">
        <v>5</v>
      </c>
      <c r="H4">
        <v>2</v>
      </c>
      <c r="I4">
        <v>829002</v>
      </c>
      <c r="J4">
        <v>829002</v>
      </c>
      <c r="K4">
        <v>490103</v>
      </c>
      <c r="L4">
        <v>411895</v>
      </c>
      <c r="M4">
        <v>283166</v>
      </c>
      <c r="N4">
        <v>185472</v>
      </c>
      <c r="O4">
        <v>264</v>
      </c>
      <c r="P4">
        <v>93051</v>
      </c>
      <c r="Q4">
        <v>829002</v>
      </c>
      <c r="R4">
        <v>98698274</v>
      </c>
      <c r="S4">
        <v>9789</v>
      </c>
      <c r="T4">
        <v>1383</v>
      </c>
      <c r="U4">
        <v>15</v>
      </c>
      <c r="V4">
        <v>85</v>
      </c>
      <c r="W4" t="s">
        <v>180</v>
      </c>
      <c r="X4" t="s">
        <v>181</v>
      </c>
      <c r="Y4" t="s">
        <v>182</v>
      </c>
      <c r="Z4" t="s">
        <v>172</v>
      </c>
      <c r="AA4" t="s">
        <v>172</v>
      </c>
      <c r="AB4" t="s">
        <v>172</v>
      </c>
      <c r="AC4" t="s">
        <v>183</v>
      </c>
      <c r="AD4" t="s">
        <v>184</v>
      </c>
      <c r="AE4">
        <v>419660</v>
      </c>
      <c r="AF4" t="s">
        <v>185</v>
      </c>
      <c r="AG4" t="s">
        <v>186</v>
      </c>
      <c r="AH4">
        <v>0</v>
      </c>
      <c r="AI4" t="s">
        <v>187</v>
      </c>
      <c r="AJ4" t="s">
        <v>188</v>
      </c>
      <c r="AK4" t="s">
        <v>189</v>
      </c>
      <c r="AL4" t="s">
        <v>190</v>
      </c>
      <c r="AM4" t="s">
        <v>13</v>
      </c>
      <c r="AN4" t="s">
        <v>13</v>
      </c>
      <c r="AO4" t="s">
        <v>13</v>
      </c>
      <c r="AP4" t="s">
        <v>13</v>
      </c>
    </row>
    <row r="5" spans="1:42" x14ac:dyDescent="0.3">
      <c r="A5" s="1">
        <v>3</v>
      </c>
      <c r="B5" t="s">
        <v>92</v>
      </c>
      <c r="C5">
        <v>112</v>
      </c>
      <c r="D5">
        <v>112</v>
      </c>
      <c r="E5">
        <v>106</v>
      </c>
      <c r="F5">
        <v>96</v>
      </c>
      <c r="G5">
        <v>70</v>
      </c>
      <c r="H5">
        <v>47</v>
      </c>
      <c r="I5">
        <v>7458602</v>
      </c>
      <c r="J5">
        <v>7458602</v>
      </c>
      <c r="K5">
        <v>7442088</v>
      </c>
      <c r="L5">
        <v>7368898</v>
      </c>
      <c r="M5">
        <v>6918692</v>
      </c>
      <c r="N5">
        <v>6086664</v>
      </c>
      <c r="O5">
        <v>112</v>
      </c>
      <c r="P5">
        <v>534212</v>
      </c>
      <c r="Q5">
        <v>7458602</v>
      </c>
      <c r="R5">
        <v>98698274</v>
      </c>
      <c r="S5">
        <v>125334</v>
      </c>
      <c r="T5">
        <v>71376</v>
      </c>
      <c r="U5">
        <v>20</v>
      </c>
      <c r="V5">
        <v>39</v>
      </c>
      <c r="W5" t="s">
        <v>191</v>
      </c>
      <c r="X5" t="s">
        <v>183</v>
      </c>
      <c r="Y5" t="s">
        <v>192</v>
      </c>
      <c r="Z5" t="s">
        <v>193</v>
      </c>
      <c r="AA5" t="s">
        <v>172</v>
      </c>
      <c r="AB5" t="s">
        <v>172</v>
      </c>
      <c r="AC5" t="s">
        <v>172</v>
      </c>
      <c r="AD5" t="s">
        <v>194</v>
      </c>
      <c r="AE5">
        <v>51460</v>
      </c>
      <c r="AF5" t="s">
        <v>195</v>
      </c>
      <c r="AG5" t="s">
        <v>196</v>
      </c>
      <c r="AH5">
        <v>0</v>
      </c>
      <c r="AI5" t="s">
        <v>197</v>
      </c>
      <c r="AJ5" t="s">
        <v>198</v>
      </c>
      <c r="AK5" t="s">
        <v>199</v>
      </c>
      <c r="AL5" t="s">
        <v>200</v>
      </c>
      <c r="AM5" t="s">
        <v>201</v>
      </c>
      <c r="AN5" t="s">
        <v>202</v>
      </c>
      <c r="AO5" t="s">
        <v>203</v>
      </c>
      <c r="AP5" t="s">
        <v>204</v>
      </c>
    </row>
    <row r="6" spans="1:42" x14ac:dyDescent="0.3">
      <c r="A6" s="1">
        <v>4</v>
      </c>
      <c r="B6" t="s">
        <v>80</v>
      </c>
      <c r="C6">
        <v>338</v>
      </c>
      <c r="D6">
        <v>338</v>
      </c>
      <c r="E6">
        <v>237</v>
      </c>
      <c r="F6">
        <v>171</v>
      </c>
      <c r="G6">
        <v>69</v>
      </c>
      <c r="H6">
        <v>20</v>
      </c>
      <c r="I6">
        <v>5479563</v>
      </c>
      <c r="J6">
        <v>5479563</v>
      </c>
      <c r="K6">
        <v>5185950</v>
      </c>
      <c r="L6">
        <v>4708197</v>
      </c>
      <c r="M6">
        <v>3062774</v>
      </c>
      <c r="N6">
        <v>1422177</v>
      </c>
      <c r="O6">
        <v>338</v>
      </c>
      <c r="P6">
        <v>131861</v>
      </c>
      <c r="Q6">
        <v>5479563</v>
      </c>
      <c r="R6">
        <v>98698274</v>
      </c>
      <c r="S6">
        <v>28667</v>
      </c>
      <c r="T6">
        <v>15124</v>
      </c>
      <c r="U6">
        <v>57</v>
      </c>
      <c r="V6">
        <v>124</v>
      </c>
      <c r="W6" t="s">
        <v>172</v>
      </c>
      <c r="X6" t="s">
        <v>172</v>
      </c>
      <c r="Y6" t="s">
        <v>172</v>
      </c>
      <c r="Z6" t="s">
        <v>172</v>
      </c>
      <c r="AA6" t="s">
        <v>172</v>
      </c>
      <c r="AB6" t="s">
        <v>172</v>
      </c>
      <c r="AC6" t="s">
        <v>172</v>
      </c>
      <c r="AD6" t="s">
        <v>205</v>
      </c>
      <c r="AE6">
        <v>5479208</v>
      </c>
      <c r="AF6" t="s">
        <v>206</v>
      </c>
      <c r="AG6" t="s">
        <v>207</v>
      </c>
      <c r="AH6">
        <v>0</v>
      </c>
      <c r="AI6" t="s">
        <v>208</v>
      </c>
      <c r="AJ6" t="s">
        <v>209</v>
      </c>
      <c r="AK6" t="s">
        <v>210</v>
      </c>
      <c r="AL6" t="s">
        <v>211</v>
      </c>
      <c r="AM6" t="s">
        <v>13</v>
      </c>
      <c r="AN6" t="s">
        <v>13</v>
      </c>
      <c r="AO6" t="s">
        <v>13</v>
      </c>
      <c r="AP6" t="s">
        <v>13</v>
      </c>
    </row>
    <row r="7" spans="1:42" x14ac:dyDescent="0.3">
      <c r="A7" s="1">
        <v>5</v>
      </c>
      <c r="B7" t="s">
        <v>57</v>
      </c>
      <c r="C7">
        <v>7</v>
      </c>
      <c r="D7">
        <v>7</v>
      </c>
      <c r="E7">
        <v>7</v>
      </c>
      <c r="F7">
        <v>6</v>
      </c>
      <c r="G7">
        <v>3</v>
      </c>
      <c r="H7">
        <v>3</v>
      </c>
      <c r="I7">
        <v>264623</v>
      </c>
      <c r="J7">
        <v>264623</v>
      </c>
      <c r="K7">
        <v>264623</v>
      </c>
      <c r="L7">
        <v>257855</v>
      </c>
      <c r="M7">
        <v>199793</v>
      </c>
      <c r="N7">
        <v>199793</v>
      </c>
      <c r="O7">
        <v>7</v>
      </c>
      <c r="P7">
        <v>76138</v>
      </c>
      <c r="Q7">
        <v>264623</v>
      </c>
      <c r="R7">
        <v>98698274</v>
      </c>
      <c r="S7">
        <v>73018</v>
      </c>
      <c r="T7">
        <v>50637</v>
      </c>
      <c r="U7">
        <v>2</v>
      </c>
      <c r="V7">
        <v>3</v>
      </c>
      <c r="W7" t="s">
        <v>181</v>
      </c>
      <c r="X7" t="s">
        <v>212</v>
      </c>
      <c r="Y7" t="s">
        <v>213</v>
      </c>
      <c r="Z7" t="s">
        <v>172</v>
      </c>
      <c r="AA7" t="s">
        <v>172</v>
      </c>
      <c r="AB7" t="s">
        <v>172</v>
      </c>
      <c r="AC7" t="s">
        <v>172</v>
      </c>
      <c r="AD7" t="s">
        <v>214</v>
      </c>
      <c r="AE7">
        <v>0</v>
      </c>
      <c r="AF7" t="s">
        <v>215</v>
      </c>
      <c r="AG7" t="s">
        <v>216</v>
      </c>
      <c r="AH7">
        <v>0</v>
      </c>
      <c r="AI7" t="s">
        <v>217</v>
      </c>
      <c r="AJ7" t="s">
        <v>218</v>
      </c>
      <c r="AK7" t="s">
        <v>219</v>
      </c>
      <c r="AL7" t="s">
        <v>220</v>
      </c>
      <c r="AM7" t="s">
        <v>221</v>
      </c>
      <c r="AN7" t="s">
        <v>222</v>
      </c>
      <c r="AO7" t="s">
        <v>223</v>
      </c>
      <c r="AP7" t="s">
        <v>181</v>
      </c>
    </row>
    <row r="8" spans="1:42" x14ac:dyDescent="0.3">
      <c r="A8" s="1">
        <v>6</v>
      </c>
      <c r="B8" t="s">
        <v>100</v>
      </c>
      <c r="C8">
        <v>158</v>
      </c>
      <c r="D8">
        <v>158</v>
      </c>
      <c r="E8">
        <v>128</v>
      </c>
      <c r="F8">
        <v>111</v>
      </c>
      <c r="G8">
        <v>77</v>
      </c>
      <c r="H8">
        <v>57</v>
      </c>
      <c r="I8">
        <v>7454284</v>
      </c>
      <c r="J8">
        <v>7454284</v>
      </c>
      <c r="K8">
        <v>7365351</v>
      </c>
      <c r="L8">
        <v>7235398</v>
      </c>
      <c r="M8">
        <v>6682640</v>
      </c>
      <c r="N8">
        <v>5950491</v>
      </c>
      <c r="O8">
        <v>158</v>
      </c>
      <c r="P8">
        <v>281188</v>
      </c>
      <c r="Q8">
        <v>7454284</v>
      </c>
      <c r="R8">
        <v>98698274</v>
      </c>
      <c r="S8">
        <v>100826</v>
      </c>
      <c r="T8">
        <v>57489</v>
      </c>
      <c r="U8">
        <v>25</v>
      </c>
      <c r="V8">
        <v>51</v>
      </c>
      <c r="W8" t="s">
        <v>172</v>
      </c>
      <c r="X8" t="s">
        <v>172</v>
      </c>
      <c r="Y8" t="s">
        <v>172</v>
      </c>
      <c r="Z8" t="s">
        <v>172</v>
      </c>
      <c r="AA8" t="s">
        <v>172</v>
      </c>
      <c r="AB8" t="s">
        <v>172</v>
      </c>
      <c r="AC8" t="s">
        <v>193</v>
      </c>
      <c r="AD8" t="s">
        <v>224</v>
      </c>
      <c r="AE8">
        <v>7453419</v>
      </c>
      <c r="AF8" t="s">
        <v>225</v>
      </c>
      <c r="AG8" t="s">
        <v>175</v>
      </c>
      <c r="AH8">
        <v>0</v>
      </c>
      <c r="AI8" t="s">
        <v>226</v>
      </c>
      <c r="AJ8" t="s">
        <v>177</v>
      </c>
      <c r="AK8" t="s">
        <v>227</v>
      </c>
      <c r="AL8" t="s">
        <v>228</v>
      </c>
      <c r="AM8" t="s">
        <v>13</v>
      </c>
      <c r="AN8" t="s">
        <v>13</v>
      </c>
      <c r="AO8" t="s">
        <v>13</v>
      </c>
      <c r="AP8" t="s">
        <v>13</v>
      </c>
    </row>
    <row r="9" spans="1:42" x14ac:dyDescent="0.3">
      <c r="A9" s="1">
        <v>7</v>
      </c>
      <c r="B9" t="s">
        <v>82</v>
      </c>
      <c r="C9">
        <v>1321</v>
      </c>
      <c r="D9">
        <v>1321</v>
      </c>
      <c r="E9">
        <v>254</v>
      </c>
      <c r="F9">
        <v>46</v>
      </c>
      <c r="G9">
        <v>8</v>
      </c>
      <c r="H9">
        <v>2</v>
      </c>
      <c r="I9">
        <v>5090948</v>
      </c>
      <c r="J9">
        <v>5090948</v>
      </c>
      <c r="K9">
        <v>2249554</v>
      </c>
      <c r="L9">
        <v>867343</v>
      </c>
      <c r="M9">
        <v>351587</v>
      </c>
      <c r="N9">
        <v>175383</v>
      </c>
      <c r="O9">
        <v>1321</v>
      </c>
      <c r="P9">
        <v>97897</v>
      </c>
      <c r="Q9">
        <v>5090948</v>
      </c>
      <c r="R9">
        <v>98698274</v>
      </c>
      <c r="S9">
        <v>4486</v>
      </c>
      <c r="T9">
        <v>2668</v>
      </c>
      <c r="U9">
        <v>317</v>
      </c>
      <c r="V9">
        <v>688</v>
      </c>
      <c r="W9" t="s">
        <v>180</v>
      </c>
      <c r="X9" t="s">
        <v>229</v>
      </c>
      <c r="Y9" t="s">
        <v>230</v>
      </c>
      <c r="Z9" t="s">
        <v>223</v>
      </c>
      <c r="AA9" t="s">
        <v>172</v>
      </c>
      <c r="AB9" t="s">
        <v>172</v>
      </c>
      <c r="AC9" t="s">
        <v>231</v>
      </c>
      <c r="AD9" t="s">
        <v>232</v>
      </c>
      <c r="AE9">
        <v>4630005</v>
      </c>
      <c r="AF9" t="s">
        <v>233</v>
      </c>
      <c r="AG9" t="s">
        <v>234</v>
      </c>
      <c r="AH9">
        <v>0</v>
      </c>
      <c r="AI9" t="s">
        <v>235</v>
      </c>
      <c r="AJ9" t="s">
        <v>236</v>
      </c>
      <c r="AK9" t="s">
        <v>237</v>
      </c>
      <c r="AL9" t="s">
        <v>238</v>
      </c>
      <c r="AM9" t="s">
        <v>13</v>
      </c>
      <c r="AN9" t="s">
        <v>13</v>
      </c>
      <c r="AO9" t="s">
        <v>13</v>
      </c>
      <c r="AP9" t="s">
        <v>13</v>
      </c>
    </row>
    <row r="10" spans="1:42" x14ac:dyDescent="0.3">
      <c r="A10" s="1">
        <v>8</v>
      </c>
      <c r="B10" t="s">
        <v>107</v>
      </c>
      <c r="C10">
        <v>137</v>
      </c>
      <c r="D10">
        <v>137</v>
      </c>
      <c r="E10">
        <v>124</v>
      </c>
      <c r="F10">
        <v>107</v>
      </c>
      <c r="G10">
        <v>69</v>
      </c>
      <c r="H10">
        <v>37</v>
      </c>
      <c r="I10">
        <v>5706051</v>
      </c>
      <c r="J10">
        <v>5706051</v>
      </c>
      <c r="K10">
        <v>5670291</v>
      </c>
      <c r="L10">
        <v>5542040</v>
      </c>
      <c r="M10">
        <v>4869689</v>
      </c>
      <c r="N10">
        <v>3665501</v>
      </c>
      <c r="O10">
        <v>137</v>
      </c>
      <c r="P10">
        <v>205411</v>
      </c>
      <c r="Q10">
        <v>5706051</v>
      </c>
      <c r="R10">
        <v>98698274</v>
      </c>
      <c r="S10">
        <v>72435</v>
      </c>
      <c r="T10">
        <v>38089</v>
      </c>
      <c r="U10">
        <v>24</v>
      </c>
      <c r="V10">
        <v>51</v>
      </c>
      <c r="W10" t="s">
        <v>172</v>
      </c>
      <c r="X10" t="s">
        <v>172</v>
      </c>
      <c r="Y10" t="s">
        <v>172</v>
      </c>
      <c r="Z10" t="s">
        <v>172</v>
      </c>
      <c r="AA10" t="s">
        <v>172</v>
      </c>
      <c r="AB10" t="s">
        <v>172</v>
      </c>
      <c r="AC10" t="s">
        <v>193</v>
      </c>
      <c r="AD10" t="s">
        <v>239</v>
      </c>
      <c r="AE10">
        <v>5705647</v>
      </c>
      <c r="AF10" t="s">
        <v>206</v>
      </c>
      <c r="AG10" t="s">
        <v>240</v>
      </c>
      <c r="AH10">
        <v>0</v>
      </c>
      <c r="AI10" t="s">
        <v>241</v>
      </c>
      <c r="AJ10" t="s">
        <v>177</v>
      </c>
      <c r="AK10" t="s">
        <v>242</v>
      </c>
      <c r="AL10" t="s">
        <v>243</v>
      </c>
      <c r="AM10" t="s">
        <v>13</v>
      </c>
      <c r="AN10" t="s">
        <v>13</v>
      </c>
      <c r="AO10" t="s">
        <v>13</v>
      </c>
      <c r="AP10" t="s">
        <v>13</v>
      </c>
    </row>
    <row r="11" spans="1:42" x14ac:dyDescent="0.3">
      <c r="A11" s="1">
        <v>9</v>
      </c>
      <c r="B11" t="s">
        <v>88</v>
      </c>
      <c r="C11">
        <v>475</v>
      </c>
      <c r="D11">
        <v>475</v>
      </c>
      <c r="E11">
        <v>374</v>
      </c>
      <c r="F11">
        <v>289</v>
      </c>
      <c r="G11">
        <v>133</v>
      </c>
      <c r="H11">
        <v>34</v>
      </c>
      <c r="I11">
        <v>9264326</v>
      </c>
      <c r="J11">
        <v>9264326</v>
      </c>
      <c r="K11">
        <v>8959264</v>
      </c>
      <c r="L11">
        <v>8333229</v>
      </c>
      <c r="M11">
        <v>5850581</v>
      </c>
      <c r="N11">
        <v>2442251</v>
      </c>
      <c r="O11">
        <v>475</v>
      </c>
      <c r="P11">
        <v>139169</v>
      </c>
      <c r="Q11">
        <v>9264326</v>
      </c>
      <c r="R11">
        <v>98698274</v>
      </c>
      <c r="S11">
        <v>31954</v>
      </c>
      <c r="T11">
        <v>18146</v>
      </c>
      <c r="U11">
        <v>90</v>
      </c>
      <c r="V11">
        <v>185</v>
      </c>
      <c r="W11" t="s">
        <v>172</v>
      </c>
      <c r="X11" t="s">
        <v>172</v>
      </c>
      <c r="Y11" t="s">
        <v>172</v>
      </c>
      <c r="Z11" t="s">
        <v>172</v>
      </c>
      <c r="AA11" t="s">
        <v>172</v>
      </c>
      <c r="AB11" t="s">
        <v>172</v>
      </c>
      <c r="AC11" t="s">
        <v>244</v>
      </c>
      <c r="AD11" t="s">
        <v>245</v>
      </c>
      <c r="AE11">
        <v>9138678</v>
      </c>
      <c r="AF11" t="s">
        <v>246</v>
      </c>
      <c r="AG11" t="s">
        <v>247</v>
      </c>
      <c r="AH11">
        <v>0</v>
      </c>
      <c r="AI11" t="s">
        <v>248</v>
      </c>
      <c r="AJ11" t="s">
        <v>249</v>
      </c>
      <c r="AK11" t="s">
        <v>250</v>
      </c>
      <c r="AL11" t="s">
        <v>251</v>
      </c>
      <c r="AM11" t="s">
        <v>13</v>
      </c>
      <c r="AN11" t="s">
        <v>13</v>
      </c>
      <c r="AO11" t="s">
        <v>13</v>
      </c>
      <c r="AP11" t="s">
        <v>13</v>
      </c>
    </row>
    <row r="12" spans="1:42" x14ac:dyDescent="0.3">
      <c r="A12" s="1">
        <v>10</v>
      </c>
      <c r="B12" t="s">
        <v>103</v>
      </c>
      <c r="C12">
        <v>311</v>
      </c>
      <c r="D12">
        <v>311</v>
      </c>
      <c r="E12">
        <v>251</v>
      </c>
      <c r="F12">
        <v>194</v>
      </c>
      <c r="G12">
        <v>96</v>
      </c>
      <c r="H12">
        <v>39</v>
      </c>
      <c r="I12">
        <v>7371780</v>
      </c>
      <c r="J12">
        <v>7371780</v>
      </c>
      <c r="K12">
        <v>7186901</v>
      </c>
      <c r="L12">
        <v>6767044</v>
      </c>
      <c r="M12">
        <v>5060694</v>
      </c>
      <c r="N12">
        <v>3111732</v>
      </c>
      <c r="O12">
        <v>311</v>
      </c>
      <c r="P12">
        <v>197372</v>
      </c>
      <c r="Q12">
        <v>7371780</v>
      </c>
      <c r="R12">
        <v>98698274</v>
      </c>
      <c r="S12">
        <v>39905</v>
      </c>
      <c r="T12">
        <v>21878</v>
      </c>
      <c r="U12">
        <v>52</v>
      </c>
      <c r="V12">
        <v>117</v>
      </c>
      <c r="W12" t="s">
        <v>252</v>
      </c>
      <c r="X12" t="s">
        <v>253</v>
      </c>
      <c r="Y12" t="s">
        <v>254</v>
      </c>
      <c r="Z12" t="s">
        <v>255</v>
      </c>
      <c r="AA12" t="s">
        <v>172</v>
      </c>
      <c r="AB12" t="s">
        <v>172</v>
      </c>
      <c r="AC12" t="s">
        <v>223</v>
      </c>
      <c r="AD12" t="s">
        <v>256</v>
      </c>
      <c r="AE12">
        <v>197291</v>
      </c>
      <c r="AF12" t="s">
        <v>257</v>
      </c>
      <c r="AG12" t="s">
        <v>234</v>
      </c>
      <c r="AH12">
        <v>0</v>
      </c>
      <c r="AI12" t="s">
        <v>258</v>
      </c>
      <c r="AJ12" t="s">
        <v>259</v>
      </c>
      <c r="AK12" t="s">
        <v>260</v>
      </c>
      <c r="AL12" t="s">
        <v>261</v>
      </c>
      <c r="AM12" t="s">
        <v>262</v>
      </c>
      <c r="AN12" t="s">
        <v>263</v>
      </c>
      <c r="AO12" t="s">
        <v>264</v>
      </c>
      <c r="AP12" t="s">
        <v>265</v>
      </c>
    </row>
    <row r="13" spans="1:42" x14ac:dyDescent="0.3">
      <c r="A13" s="1">
        <v>11</v>
      </c>
      <c r="B13" t="s">
        <v>59</v>
      </c>
      <c r="C13">
        <v>5</v>
      </c>
      <c r="D13">
        <v>5</v>
      </c>
      <c r="E13">
        <v>3</v>
      </c>
      <c r="F13">
        <v>2</v>
      </c>
      <c r="G13">
        <v>2</v>
      </c>
      <c r="H13">
        <v>2</v>
      </c>
      <c r="I13">
        <v>209863</v>
      </c>
      <c r="J13">
        <v>209863</v>
      </c>
      <c r="K13">
        <v>203097</v>
      </c>
      <c r="L13">
        <v>195295</v>
      </c>
      <c r="M13">
        <v>195295</v>
      </c>
      <c r="N13">
        <v>195295</v>
      </c>
      <c r="O13">
        <v>5</v>
      </c>
      <c r="P13">
        <v>136506</v>
      </c>
      <c r="Q13">
        <v>209863</v>
      </c>
      <c r="R13">
        <v>98698274</v>
      </c>
      <c r="S13">
        <v>136506</v>
      </c>
      <c r="T13">
        <v>58789</v>
      </c>
      <c r="U13">
        <v>1</v>
      </c>
      <c r="V13">
        <v>2</v>
      </c>
      <c r="W13" t="s">
        <v>212</v>
      </c>
      <c r="X13" t="s">
        <v>266</v>
      </c>
      <c r="Y13" t="s">
        <v>267</v>
      </c>
      <c r="Z13" t="s">
        <v>172</v>
      </c>
      <c r="AA13" t="s">
        <v>172</v>
      </c>
      <c r="AB13" t="s">
        <v>172</v>
      </c>
      <c r="AC13" t="s">
        <v>172</v>
      </c>
      <c r="AD13" t="s">
        <v>214</v>
      </c>
      <c r="AE13">
        <v>0</v>
      </c>
      <c r="AF13" t="s">
        <v>268</v>
      </c>
      <c r="AG13" t="s">
        <v>269</v>
      </c>
      <c r="AH13">
        <v>0</v>
      </c>
      <c r="AI13" t="s">
        <v>270</v>
      </c>
      <c r="AJ13" t="s">
        <v>271</v>
      </c>
      <c r="AK13" t="s">
        <v>272</v>
      </c>
      <c r="AL13" t="s">
        <v>273</v>
      </c>
      <c r="AM13" t="s">
        <v>274</v>
      </c>
      <c r="AN13" t="s">
        <v>275</v>
      </c>
      <c r="AO13" t="s">
        <v>266</v>
      </c>
      <c r="AP13" t="s">
        <v>223</v>
      </c>
    </row>
    <row r="14" spans="1:42" x14ac:dyDescent="0.3">
      <c r="A14" s="1">
        <v>12</v>
      </c>
      <c r="B14" t="s">
        <v>89</v>
      </c>
      <c r="C14">
        <v>196</v>
      </c>
      <c r="D14">
        <v>196</v>
      </c>
      <c r="E14">
        <v>158</v>
      </c>
      <c r="F14">
        <v>118</v>
      </c>
      <c r="G14">
        <v>70</v>
      </c>
      <c r="H14">
        <v>38</v>
      </c>
      <c r="I14">
        <v>5741883</v>
      </c>
      <c r="J14">
        <v>5741883</v>
      </c>
      <c r="K14">
        <v>5621341</v>
      </c>
      <c r="L14">
        <v>5314868</v>
      </c>
      <c r="M14">
        <v>4542912</v>
      </c>
      <c r="N14">
        <v>3392717</v>
      </c>
      <c r="O14">
        <v>196</v>
      </c>
      <c r="P14">
        <v>213475</v>
      </c>
      <c r="Q14">
        <v>5741883</v>
      </c>
      <c r="R14">
        <v>98698274</v>
      </c>
      <c r="S14">
        <v>63298</v>
      </c>
      <c r="T14">
        <v>30214</v>
      </c>
      <c r="U14">
        <v>29</v>
      </c>
      <c r="V14">
        <v>62</v>
      </c>
      <c r="W14" t="s">
        <v>276</v>
      </c>
      <c r="X14" t="s">
        <v>180</v>
      </c>
      <c r="Y14" t="s">
        <v>277</v>
      </c>
      <c r="Z14" t="s">
        <v>231</v>
      </c>
      <c r="AA14" t="s">
        <v>172</v>
      </c>
      <c r="AB14" t="s">
        <v>172</v>
      </c>
      <c r="AC14" t="s">
        <v>266</v>
      </c>
      <c r="AD14" t="s">
        <v>278</v>
      </c>
      <c r="AE14">
        <v>65501</v>
      </c>
      <c r="AF14" t="s">
        <v>279</v>
      </c>
      <c r="AG14" t="s">
        <v>280</v>
      </c>
      <c r="AH14">
        <v>0</v>
      </c>
      <c r="AI14" t="s">
        <v>281</v>
      </c>
      <c r="AJ14" t="s">
        <v>282</v>
      </c>
      <c r="AK14" t="s">
        <v>283</v>
      </c>
      <c r="AL14" t="s">
        <v>284</v>
      </c>
      <c r="AM14" t="s">
        <v>285</v>
      </c>
      <c r="AN14" t="s">
        <v>286</v>
      </c>
      <c r="AO14" t="s">
        <v>287</v>
      </c>
      <c r="AP14" t="s">
        <v>264</v>
      </c>
    </row>
    <row r="15" spans="1:42" x14ac:dyDescent="0.3">
      <c r="A15" s="1">
        <v>13</v>
      </c>
      <c r="B15" t="s">
        <v>83</v>
      </c>
      <c r="C15">
        <v>699</v>
      </c>
      <c r="D15">
        <v>699</v>
      </c>
      <c r="E15">
        <v>158</v>
      </c>
      <c r="F15">
        <v>16</v>
      </c>
      <c r="G15">
        <v>1</v>
      </c>
      <c r="H15">
        <v>0</v>
      </c>
      <c r="I15">
        <v>2720322</v>
      </c>
      <c r="J15">
        <v>2720322</v>
      </c>
      <c r="K15">
        <v>1193539</v>
      </c>
      <c r="L15">
        <v>224499</v>
      </c>
      <c r="M15">
        <v>26961</v>
      </c>
      <c r="N15">
        <v>0</v>
      </c>
      <c r="O15">
        <v>699</v>
      </c>
      <c r="P15">
        <v>26961</v>
      </c>
      <c r="Q15">
        <v>2720322</v>
      </c>
      <c r="R15">
        <v>98698274</v>
      </c>
      <c r="S15">
        <v>4522</v>
      </c>
      <c r="T15">
        <v>2924</v>
      </c>
      <c r="U15">
        <v>193</v>
      </c>
      <c r="V15">
        <v>379</v>
      </c>
      <c r="W15" t="s">
        <v>13</v>
      </c>
      <c r="X15" t="s">
        <v>13</v>
      </c>
      <c r="Y15" t="s">
        <v>13</v>
      </c>
      <c r="Z15" t="s">
        <v>13</v>
      </c>
      <c r="AA15" t="s">
        <v>13</v>
      </c>
      <c r="AB15" t="s">
        <v>13</v>
      </c>
      <c r="AC15" t="s">
        <v>13</v>
      </c>
      <c r="AD15" t="s">
        <v>288</v>
      </c>
      <c r="AE15">
        <v>2720322</v>
      </c>
      <c r="AF15" t="s">
        <v>13</v>
      </c>
      <c r="AG15" t="s">
        <v>13</v>
      </c>
      <c r="AH15">
        <v>0</v>
      </c>
      <c r="AI15" t="s">
        <v>13</v>
      </c>
      <c r="AJ15" t="s">
        <v>13</v>
      </c>
      <c r="AK15" t="s">
        <v>13</v>
      </c>
      <c r="AL15" t="s">
        <v>13</v>
      </c>
      <c r="AM15" t="s">
        <v>13</v>
      </c>
      <c r="AN15" t="s">
        <v>13</v>
      </c>
      <c r="AO15" t="s">
        <v>13</v>
      </c>
      <c r="AP15" t="s">
        <v>13</v>
      </c>
    </row>
    <row r="16" spans="1:42" x14ac:dyDescent="0.3">
      <c r="A16" s="1">
        <v>14</v>
      </c>
      <c r="B16" t="s">
        <v>61</v>
      </c>
      <c r="C16">
        <v>1281</v>
      </c>
      <c r="D16">
        <v>1281</v>
      </c>
      <c r="E16">
        <v>98</v>
      </c>
      <c r="F16">
        <v>3</v>
      </c>
      <c r="G16">
        <v>0</v>
      </c>
      <c r="H16">
        <v>0</v>
      </c>
      <c r="I16">
        <v>3363495</v>
      </c>
      <c r="J16">
        <v>3363495</v>
      </c>
      <c r="K16">
        <v>643291</v>
      </c>
      <c r="L16">
        <v>44188</v>
      </c>
      <c r="M16">
        <v>0</v>
      </c>
      <c r="N16">
        <v>0</v>
      </c>
      <c r="O16">
        <v>1281</v>
      </c>
      <c r="P16">
        <v>19243</v>
      </c>
      <c r="Q16">
        <v>3363495</v>
      </c>
      <c r="R16">
        <v>98698274</v>
      </c>
      <c r="S16">
        <v>2923</v>
      </c>
      <c r="T16">
        <v>2051</v>
      </c>
      <c r="U16">
        <v>374</v>
      </c>
      <c r="V16">
        <v>718</v>
      </c>
      <c r="W16" t="s">
        <v>266</v>
      </c>
      <c r="X16" t="s">
        <v>266</v>
      </c>
      <c r="Y16" t="s">
        <v>289</v>
      </c>
      <c r="Z16" t="s">
        <v>266</v>
      </c>
      <c r="AA16" t="s">
        <v>172</v>
      </c>
      <c r="AB16" t="s">
        <v>172</v>
      </c>
      <c r="AC16" t="s">
        <v>212</v>
      </c>
      <c r="AD16" t="s">
        <v>290</v>
      </c>
      <c r="AE16">
        <v>288815</v>
      </c>
      <c r="AF16" t="s">
        <v>291</v>
      </c>
      <c r="AG16" t="s">
        <v>292</v>
      </c>
      <c r="AH16">
        <v>0</v>
      </c>
      <c r="AI16" t="s">
        <v>293</v>
      </c>
      <c r="AJ16" t="s">
        <v>294</v>
      </c>
      <c r="AK16" t="s">
        <v>295</v>
      </c>
      <c r="AL16" t="s">
        <v>296</v>
      </c>
      <c r="AM16" t="s">
        <v>297</v>
      </c>
      <c r="AN16" t="s">
        <v>298</v>
      </c>
      <c r="AO16" t="s">
        <v>299</v>
      </c>
      <c r="AP16" t="s">
        <v>300</v>
      </c>
    </row>
    <row r="17" spans="1:42" x14ac:dyDescent="0.3">
      <c r="A17" s="1">
        <v>15</v>
      </c>
      <c r="B17" t="s">
        <v>84</v>
      </c>
      <c r="C17">
        <v>7</v>
      </c>
      <c r="D17">
        <v>7</v>
      </c>
      <c r="E17">
        <v>5</v>
      </c>
      <c r="F17">
        <v>5</v>
      </c>
      <c r="G17">
        <v>2</v>
      </c>
      <c r="H17">
        <v>2</v>
      </c>
      <c r="I17">
        <v>225569</v>
      </c>
      <c r="J17">
        <v>225569</v>
      </c>
      <c r="K17">
        <v>219502</v>
      </c>
      <c r="L17">
        <v>219502</v>
      </c>
      <c r="M17">
        <v>180963</v>
      </c>
      <c r="N17">
        <v>180963</v>
      </c>
      <c r="O17">
        <v>7</v>
      </c>
      <c r="P17">
        <v>107505</v>
      </c>
      <c r="Q17">
        <v>225569</v>
      </c>
      <c r="R17">
        <v>98698274</v>
      </c>
      <c r="S17">
        <v>73458</v>
      </c>
      <c r="T17">
        <v>73458</v>
      </c>
      <c r="U17">
        <v>2</v>
      </c>
      <c r="V17">
        <v>2</v>
      </c>
      <c r="W17" t="s">
        <v>172</v>
      </c>
      <c r="X17" t="s">
        <v>172</v>
      </c>
      <c r="Y17" t="s">
        <v>172</v>
      </c>
      <c r="Z17" t="s">
        <v>172</v>
      </c>
      <c r="AA17" t="s">
        <v>172</v>
      </c>
      <c r="AB17" t="s">
        <v>172</v>
      </c>
      <c r="AC17" t="s">
        <v>172</v>
      </c>
      <c r="AD17" t="s">
        <v>301</v>
      </c>
      <c r="AE17">
        <v>30602</v>
      </c>
      <c r="AF17" t="s">
        <v>302</v>
      </c>
      <c r="AG17" t="s">
        <v>175</v>
      </c>
      <c r="AH17">
        <v>0</v>
      </c>
      <c r="AI17" t="s">
        <v>303</v>
      </c>
      <c r="AJ17" t="s">
        <v>304</v>
      </c>
      <c r="AK17" t="s">
        <v>305</v>
      </c>
      <c r="AL17" t="s">
        <v>306</v>
      </c>
      <c r="AM17" t="s">
        <v>307</v>
      </c>
      <c r="AN17" t="s">
        <v>307</v>
      </c>
      <c r="AO17" t="s">
        <v>266</v>
      </c>
      <c r="AP17" t="s">
        <v>266</v>
      </c>
    </row>
    <row r="18" spans="1:42" x14ac:dyDescent="0.3">
      <c r="A18" s="1">
        <v>16</v>
      </c>
      <c r="B18" t="s">
        <v>95</v>
      </c>
      <c r="C18">
        <v>4</v>
      </c>
      <c r="D18">
        <v>4</v>
      </c>
      <c r="E18">
        <v>4</v>
      </c>
      <c r="F18">
        <v>3</v>
      </c>
      <c r="G18">
        <v>3</v>
      </c>
      <c r="H18">
        <v>2</v>
      </c>
      <c r="I18">
        <v>210711</v>
      </c>
      <c r="J18">
        <v>210711</v>
      </c>
      <c r="K18">
        <v>210711</v>
      </c>
      <c r="L18">
        <v>204504</v>
      </c>
      <c r="M18">
        <v>204504</v>
      </c>
      <c r="N18">
        <v>157951</v>
      </c>
      <c r="O18">
        <v>4</v>
      </c>
      <c r="P18">
        <v>86358</v>
      </c>
      <c r="Q18">
        <v>210711</v>
      </c>
      <c r="R18">
        <v>98698274</v>
      </c>
      <c r="S18">
        <v>71593</v>
      </c>
      <c r="T18">
        <v>46553</v>
      </c>
      <c r="U18">
        <v>2</v>
      </c>
      <c r="V18">
        <v>3</v>
      </c>
      <c r="W18" t="s">
        <v>212</v>
      </c>
      <c r="X18" t="s">
        <v>223</v>
      </c>
      <c r="Y18" t="s">
        <v>308</v>
      </c>
      <c r="Z18" t="s">
        <v>172</v>
      </c>
      <c r="AA18" t="s">
        <v>172</v>
      </c>
      <c r="AB18" t="s">
        <v>172</v>
      </c>
      <c r="AC18" t="s">
        <v>172</v>
      </c>
      <c r="AD18" t="s">
        <v>309</v>
      </c>
      <c r="AE18">
        <v>881</v>
      </c>
      <c r="AF18" t="s">
        <v>310</v>
      </c>
      <c r="AG18" t="s">
        <v>311</v>
      </c>
      <c r="AH18">
        <v>0</v>
      </c>
      <c r="AI18" t="s">
        <v>312</v>
      </c>
      <c r="AJ18" t="s">
        <v>313</v>
      </c>
      <c r="AK18" t="s">
        <v>314</v>
      </c>
      <c r="AL18" t="s">
        <v>315</v>
      </c>
      <c r="AM18" t="s">
        <v>316</v>
      </c>
      <c r="AN18" t="s">
        <v>317</v>
      </c>
      <c r="AO18" t="s">
        <v>223</v>
      </c>
      <c r="AP18" t="s">
        <v>212</v>
      </c>
    </row>
    <row r="19" spans="1:42" x14ac:dyDescent="0.3">
      <c r="A19" s="1">
        <v>17</v>
      </c>
      <c r="B19" t="s">
        <v>85</v>
      </c>
      <c r="C19">
        <v>2031</v>
      </c>
      <c r="D19">
        <v>2031</v>
      </c>
      <c r="E19">
        <v>47</v>
      </c>
      <c r="F19">
        <v>4</v>
      </c>
      <c r="G19">
        <v>0</v>
      </c>
      <c r="H19">
        <v>0</v>
      </c>
      <c r="I19">
        <v>4206587</v>
      </c>
      <c r="J19">
        <v>4206587</v>
      </c>
      <c r="K19">
        <v>332472</v>
      </c>
      <c r="L19">
        <v>54632</v>
      </c>
      <c r="M19">
        <v>0</v>
      </c>
      <c r="N19">
        <v>0</v>
      </c>
      <c r="O19">
        <v>2031</v>
      </c>
      <c r="P19">
        <v>16504</v>
      </c>
      <c r="Q19">
        <v>4206587</v>
      </c>
      <c r="R19">
        <v>98698274</v>
      </c>
      <c r="S19">
        <v>2116</v>
      </c>
      <c r="T19">
        <v>1643</v>
      </c>
      <c r="U19">
        <v>679</v>
      </c>
      <c r="V19">
        <v>1247</v>
      </c>
      <c r="W19" t="s">
        <v>172</v>
      </c>
      <c r="X19" t="s">
        <v>172</v>
      </c>
      <c r="Y19" t="s">
        <v>172</v>
      </c>
      <c r="Z19" t="s">
        <v>266</v>
      </c>
      <c r="AA19" t="s">
        <v>172</v>
      </c>
      <c r="AB19" t="s">
        <v>172</v>
      </c>
      <c r="AC19" t="s">
        <v>255</v>
      </c>
      <c r="AD19" t="s">
        <v>318</v>
      </c>
      <c r="AE19">
        <v>3931121</v>
      </c>
      <c r="AF19" t="s">
        <v>319</v>
      </c>
      <c r="AG19" t="s">
        <v>320</v>
      </c>
      <c r="AH19">
        <v>0</v>
      </c>
      <c r="AI19" t="s">
        <v>321</v>
      </c>
      <c r="AJ19" t="s">
        <v>322</v>
      </c>
      <c r="AK19" t="s">
        <v>323</v>
      </c>
      <c r="AL19" t="s">
        <v>324</v>
      </c>
      <c r="AM19" t="s">
        <v>13</v>
      </c>
      <c r="AN19" t="s">
        <v>13</v>
      </c>
      <c r="AO19" t="s">
        <v>13</v>
      </c>
      <c r="AP19" t="s">
        <v>13</v>
      </c>
    </row>
    <row r="20" spans="1:42" x14ac:dyDescent="0.3">
      <c r="A20" s="1">
        <v>18</v>
      </c>
      <c r="B20" t="s">
        <v>63</v>
      </c>
      <c r="C20">
        <v>846</v>
      </c>
      <c r="D20">
        <v>846</v>
      </c>
      <c r="E20">
        <v>14</v>
      </c>
      <c r="F20">
        <v>2</v>
      </c>
      <c r="G20">
        <v>0</v>
      </c>
      <c r="H20">
        <v>0</v>
      </c>
      <c r="I20">
        <v>1885441</v>
      </c>
      <c r="J20">
        <v>1885441</v>
      </c>
      <c r="K20">
        <v>101698</v>
      </c>
      <c r="L20">
        <v>26372</v>
      </c>
      <c r="M20">
        <v>0</v>
      </c>
      <c r="N20">
        <v>0</v>
      </c>
      <c r="O20">
        <v>846</v>
      </c>
      <c r="P20">
        <v>14721</v>
      </c>
      <c r="Q20">
        <v>1885441</v>
      </c>
      <c r="R20">
        <v>98698274</v>
      </c>
      <c r="S20">
        <v>2164</v>
      </c>
      <c r="T20">
        <v>1771</v>
      </c>
      <c r="U20">
        <v>314</v>
      </c>
      <c r="V20">
        <v>556</v>
      </c>
      <c r="W20" t="s">
        <v>172</v>
      </c>
      <c r="X20" t="s">
        <v>172</v>
      </c>
      <c r="Y20" t="s">
        <v>172</v>
      </c>
      <c r="Z20" t="s">
        <v>172</v>
      </c>
      <c r="AA20" t="s">
        <v>172</v>
      </c>
      <c r="AB20" t="s">
        <v>172</v>
      </c>
      <c r="AC20" t="s">
        <v>325</v>
      </c>
      <c r="AD20" t="s">
        <v>326</v>
      </c>
      <c r="AE20">
        <v>1823843</v>
      </c>
      <c r="AF20" t="s">
        <v>327</v>
      </c>
      <c r="AG20" t="s">
        <v>328</v>
      </c>
      <c r="AH20">
        <v>0</v>
      </c>
      <c r="AI20" t="s">
        <v>329</v>
      </c>
      <c r="AJ20" t="s">
        <v>330</v>
      </c>
      <c r="AK20" t="s">
        <v>331</v>
      </c>
      <c r="AL20" t="s">
        <v>332</v>
      </c>
      <c r="AM20" t="s">
        <v>13</v>
      </c>
      <c r="AN20" t="s">
        <v>13</v>
      </c>
      <c r="AO20" t="s">
        <v>13</v>
      </c>
      <c r="AP20" t="s">
        <v>13</v>
      </c>
    </row>
    <row r="21" spans="1:42" x14ac:dyDescent="0.3">
      <c r="A21" s="1">
        <v>19</v>
      </c>
      <c r="B21" t="s">
        <v>333</v>
      </c>
      <c r="C21">
        <v>4</v>
      </c>
      <c r="D21">
        <v>4</v>
      </c>
      <c r="E21">
        <v>3</v>
      </c>
      <c r="F21">
        <v>2</v>
      </c>
      <c r="G21">
        <v>2</v>
      </c>
      <c r="H21">
        <v>2</v>
      </c>
      <c r="I21">
        <v>249132</v>
      </c>
      <c r="J21">
        <v>249132</v>
      </c>
      <c r="K21">
        <v>247381</v>
      </c>
      <c r="L21">
        <v>240162</v>
      </c>
      <c r="M21">
        <v>240162</v>
      </c>
      <c r="N21">
        <v>240162</v>
      </c>
      <c r="O21">
        <v>4</v>
      </c>
      <c r="P21">
        <v>168456</v>
      </c>
      <c r="Q21">
        <v>249132</v>
      </c>
      <c r="R21">
        <v>98698274</v>
      </c>
      <c r="S21">
        <v>168456</v>
      </c>
      <c r="T21">
        <v>71706</v>
      </c>
      <c r="U21">
        <v>1</v>
      </c>
      <c r="V21">
        <v>2</v>
      </c>
      <c r="W21" t="s">
        <v>266</v>
      </c>
      <c r="X21" t="s">
        <v>266</v>
      </c>
      <c r="Y21" t="s">
        <v>334</v>
      </c>
      <c r="Z21" t="s">
        <v>172</v>
      </c>
      <c r="AA21" t="s">
        <v>172</v>
      </c>
      <c r="AB21" t="s">
        <v>172</v>
      </c>
      <c r="AC21" t="s">
        <v>172</v>
      </c>
      <c r="AD21" t="s">
        <v>214</v>
      </c>
      <c r="AE21">
        <v>0</v>
      </c>
      <c r="AF21" t="s">
        <v>335</v>
      </c>
      <c r="AG21" t="s">
        <v>175</v>
      </c>
      <c r="AH21">
        <v>0</v>
      </c>
      <c r="AI21" t="s">
        <v>336</v>
      </c>
      <c r="AJ21" t="s">
        <v>337</v>
      </c>
      <c r="AK21" t="s">
        <v>338</v>
      </c>
      <c r="AL21" t="s">
        <v>339</v>
      </c>
      <c r="AM21" t="s">
        <v>338</v>
      </c>
      <c r="AN21" t="s">
        <v>340</v>
      </c>
      <c r="AO21" t="s">
        <v>193</v>
      </c>
      <c r="AP21" t="s">
        <v>266</v>
      </c>
    </row>
    <row r="22" spans="1:42" x14ac:dyDescent="0.3">
      <c r="A22" s="1">
        <v>20</v>
      </c>
      <c r="B22" t="s">
        <v>341</v>
      </c>
      <c r="C22">
        <v>5</v>
      </c>
      <c r="D22">
        <v>5</v>
      </c>
      <c r="E22">
        <v>5</v>
      </c>
      <c r="F22">
        <v>4</v>
      </c>
      <c r="G22">
        <v>4</v>
      </c>
      <c r="H22">
        <v>3</v>
      </c>
      <c r="I22">
        <v>217025</v>
      </c>
      <c r="J22">
        <v>217025</v>
      </c>
      <c r="K22">
        <v>217025</v>
      </c>
      <c r="L22">
        <v>207110</v>
      </c>
      <c r="M22">
        <v>207110</v>
      </c>
      <c r="N22">
        <v>177619</v>
      </c>
      <c r="O22">
        <v>5</v>
      </c>
      <c r="P22">
        <v>63828</v>
      </c>
      <c r="Q22">
        <v>217025</v>
      </c>
      <c r="R22">
        <v>98698274</v>
      </c>
      <c r="S22">
        <v>60383</v>
      </c>
      <c r="T22">
        <v>53408</v>
      </c>
      <c r="U22">
        <v>2</v>
      </c>
      <c r="V22">
        <v>3</v>
      </c>
      <c r="W22" t="s">
        <v>172</v>
      </c>
      <c r="X22" t="s">
        <v>172</v>
      </c>
      <c r="Y22" t="s">
        <v>172</v>
      </c>
      <c r="Z22" t="s">
        <v>172</v>
      </c>
      <c r="AA22" t="s">
        <v>172</v>
      </c>
      <c r="AB22" t="s">
        <v>172</v>
      </c>
      <c r="AC22" t="s">
        <v>172</v>
      </c>
      <c r="AD22" t="s">
        <v>214</v>
      </c>
      <c r="AE22">
        <v>0</v>
      </c>
      <c r="AF22" t="s">
        <v>342</v>
      </c>
      <c r="AG22" t="s">
        <v>175</v>
      </c>
      <c r="AH22">
        <v>0</v>
      </c>
      <c r="AI22" t="s">
        <v>343</v>
      </c>
      <c r="AJ22" t="s">
        <v>344</v>
      </c>
      <c r="AK22" t="s">
        <v>345</v>
      </c>
      <c r="AL22" t="s">
        <v>346</v>
      </c>
      <c r="AM22" t="s">
        <v>347</v>
      </c>
      <c r="AN22" t="s">
        <v>348</v>
      </c>
      <c r="AO22" t="s">
        <v>266</v>
      </c>
      <c r="AP22" t="s">
        <v>223</v>
      </c>
    </row>
    <row r="23" spans="1:42" x14ac:dyDescent="0.3">
      <c r="A23" s="1">
        <v>21</v>
      </c>
      <c r="B23" t="s">
        <v>349</v>
      </c>
      <c r="C23">
        <v>247</v>
      </c>
      <c r="D23">
        <v>247</v>
      </c>
      <c r="E23">
        <v>1</v>
      </c>
      <c r="F23">
        <v>0</v>
      </c>
      <c r="G23">
        <v>0</v>
      </c>
      <c r="H23">
        <v>0</v>
      </c>
      <c r="I23">
        <v>546892</v>
      </c>
      <c r="J23">
        <v>546892</v>
      </c>
      <c r="K23">
        <v>5216</v>
      </c>
      <c r="L23">
        <v>0</v>
      </c>
      <c r="M23">
        <v>0</v>
      </c>
      <c r="N23">
        <v>0</v>
      </c>
      <c r="O23">
        <v>247</v>
      </c>
      <c r="P23">
        <v>5216</v>
      </c>
      <c r="Q23">
        <v>546892</v>
      </c>
      <c r="R23">
        <v>98698274</v>
      </c>
      <c r="S23">
        <v>2152</v>
      </c>
      <c r="T23">
        <v>1803</v>
      </c>
      <c r="U23">
        <v>95</v>
      </c>
      <c r="V23">
        <v>165</v>
      </c>
      <c r="W23" t="s">
        <v>172</v>
      </c>
      <c r="X23" t="s">
        <v>172</v>
      </c>
      <c r="Y23" t="s">
        <v>172</v>
      </c>
      <c r="Z23" t="s">
        <v>172</v>
      </c>
      <c r="AA23" t="s">
        <v>172</v>
      </c>
      <c r="AB23" t="s">
        <v>172</v>
      </c>
      <c r="AC23" t="s">
        <v>193</v>
      </c>
      <c r="AD23" t="s">
        <v>350</v>
      </c>
      <c r="AE23">
        <v>530101</v>
      </c>
      <c r="AF23" t="s">
        <v>351</v>
      </c>
      <c r="AG23" t="s">
        <v>175</v>
      </c>
      <c r="AH23">
        <v>0</v>
      </c>
      <c r="AI23" t="s">
        <v>352</v>
      </c>
      <c r="AJ23" t="s">
        <v>177</v>
      </c>
      <c r="AK23" t="s">
        <v>353</v>
      </c>
      <c r="AL23" t="s">
        <v>354</v>
      </c>
      <c r="AM23" t="s">
        <v>13</v>
      </c>
      <c r="AN23" t="s">
        <v>13</v>
      </c>
      <c r="AO23" t="s">
        <v>13</v>
      </c>
      <c r="AP23" t="s">
        <v>13</v>
      </c>
    </row>
    <row r="24" spans="1:42" x14ac:dyDescent="0.3">
      <c r="A24" s="1">
        <v>22</v>
      </c>
      <c r="B24" t="s">
        <v>93</v>
      </c>
      <c r="C24">
        <v>20</v>
      </c>
      <c r="D24">
        <v>20</v>
      </c>
      <c r="E24">
        <v>9</v>
      </c>
      <c r="F24">
        <v>5</v>
      </c>
      <c r="G24">
        <v>2</v>
      </c>
      <c r="H24">
        <v>1</v>
      </c>
      <c r="I24">
        <v>264892</v>
      </c>
      <c r="J24">
        <v>264892</v>
      </c>
      <c r="K24">
        <v>231810</v>
      </c>
      <c r="L24">
        <v>206102</v>
      </c>
      <c r="M24">
        <v>169325</v>
      </c>
      <c r="N24">
        <v>135332</v>
      </c>
      <c r="O24">
        <v>20</v>
      </c>
      <c r="P24">
        <v>135332</v>
      </c>
      <c r="Q24">
        <v>264892</v>
      </c>
      <c r="R24">
        <v>98698274</v>
      </c>
      <c r="S24">
        <v>135332</v>
      </c>
      <c r="T24">
        <v>10048</v>
      </c>
      <c r="U24">
        <v>1</v>
      </c>
      <c r="V24">
        <v>5</v>
      </c>
      <c r="W24" t="s">
        <v>193</v>
      </c>
      <c r="X24" t="s">
        <v>193</v>
      </c>
      <c r="Y24" t="s">
        <v>355</v>
      </c>
      <c r="Z24" t="s">
        <v>172</v>
      </c>
      <c r="AA24" t="s">
        <v>172</v>
      </c>
      <c r="AB24" t="s">
        <v>172</v>
      </c>
      <c r="AC24" t="s">
        <v>172</v>
      </c>
      <c r="AD24" t="s">
        <v>356</v>
      </c>
      <c r="AE24">
        <v>170234</v>
      </c>
      <c r="AF24" t="s">
        <v>357</v>
      </c>
      <c r="AG24" t="s">
        <v>175</v>
      </c>
      <c r="AH24">
        <v>0</v>
      </c>
      <c r="AI24" t="s">
        <v>358</v>
      </c>
      <c r="AJ24" t="s">
        <v>359</v>
      </c>
      <c r="AK24" t="s">
        <v>360</v>
      </c>
      <c r="AL24" t="s">
        <v>361</v>
      </c>
      <c r="AM24" t="s">
        <v>13</v>
      </c>
      <c r="AN24" t="s">
        <v>13</v>
      </c>
      <c r="AO24" t="s">
        <v>13</v>
      </c>
      <c r="AP24" t="s">
        <v>13</v>
      </c>
    </row>
    <row r="25" spans="1:42" x14ac:dyDescent="0.3">
      <c r="A25" s="1">
        <v>23</v>
      </c>
      <c r="B25" t="s">
        <v>65</v>
      </c>
      <c r="C25">
        <v>317</v>
      </c>
      <c r="D25">
        <v>317</v>
      </c>
      <c r="E25">
        <v>245</v>
      </c>
      <c r="F25">
        <v>171</v>
      </c>
      <c r="G25">
        <v>48</v>
      </c>
      <c r="H25">
        <v>8</v>
      </c>
      <c r="I25">
        <v>4635971</v>
      </c>
      <c r="J25">
        <v>4635971</v>
      </c>
      <c r="K25">
        <v>4418888</v>
      </c>
      <c r="L25">
        <v>3881191</v>
      </c>
      <c r="M25">
        <v>1830850</v>
      </c>
      <c r="N25">
        <v>475080</v>
      </c>
      <c r="O25">
        <v>317</v>
      </c>
      <c r="P25">
        <v>70881</v>
      </c>
      <c r="Q25">
        <v>4635971</v>
      </c>
      <c r="R25">
        <v>98698274</v>
      </c>
      <c r="S25">
        <v>20555</v>
      </c>
      <c r="T25">
        <v>13890</v>
      </c>
      <c r="U25">
        <v>70</v>
      </c>
      <c r="V25">
        <v>137</v>
      </c>
      <c r="W25" t="s">
        <v>362</v>
      </c>
      <c r="X25" t="s">
        <v>363</v>
      </c>
      <c r="Y25" t="s">
        <v>364</v>
      </c>
      <c r="Z25" t="s">
        <v>325</v>
      </c>
      <c r="AA25" t="s">
        <v>172</v>
      </c>
      <c r="AB25" t="s">
        <v>172</v>
      </c>
      <c r="AC25" t="s">
        <v>266</v>
      </c>
      <c r="AD25" t="s">
        <v>194</v>
      </c>
      <c r="AE25">
        <v>16833</v>
      </c>
      <c r="AF25" t="s">
        <v>365</v>
      </c>
      <c r="AG25" t="s">
        <v>366</v>
      </c>
      <c r="AH25">
        <v>0</v>
      </c>
      <c r="AI25" t="s">
        <v>367</v>
      </c>
      <c r="AJ25" t="s">
        <v>368</v>
      </c>
      <c r="AK25" t="s">
        <v>369</v>
      </c>
      <c r="AL25" t="s">
        <v>370</v>
      </c>
      <c r="AM25" t="s">
        <v>371</v>
      </c>
      <c r="AN25" t="s">
        <v>372</v>
      </c>
      <c r="AO25" t="s">
        <v>373</v>
      </c>
      <c r="AP25" t="s">
        <v>374</v>
      </c>
    </row>
    <row r="26" spans="1:42" x14ac:dyDescent="0.3">
      <c r="A26" s="1">
        <v>24</v>
      </c>
      <c r="B26" t="s">
        <v>67</v>
      </c>
      <c r="C26">
        <v>130</v>
      </c>
      <c r="D26">
        <v>130</v>
      </c>
      <c r="E26">
        <v>118</v>
      </c>
      <c r="F26">
        <v>106</v>
      </c>
      <c r="G26">
        <v>73</v>
      </c>
      <c r="H26">
        <v>43</v>
      </c>
      <c r="I26">
        <v>7175999</v>
      </c>
      <c r="J26">
        <v>7175999</v>
      </c>
      <c r="K26">
        <v>7134447</v>
      </c>
      <c r="L26">
        <v>7047600</v>
      </c>
      <c r="M26">
        <v>6449884</v>
      </c>
      <c r="N26">
        <v>5324490</v>
      </c>
      <c r="O26">
        <v>130</v>
      </c>
      <c r="P26">
        <v>309401</v>
      </c>
      <c r="Q26">
        <v>7175999</v>
      </c>
      <c r="R26">
        <v>98698274</v>
      </c>
      <c r="S26">
        <v>123107</v>
      </c>
      <c r="T26">
        <v>49808</v>
      </c>
      <c r="U26">
        <v>20</v>
      </c>
      <c r="V26">
        <v>45</v>
      </c>
      <c r="W26" t="s">
        <v>181</v>
      </c>
      <c r="X26" t="s">
        <v>181</v>
      </c>
      <c r="Y26" t="s">
        <v>375</v>
      </c>
      <c r="Z26" t="s">
        <v>276</v>
      </c>
      <c r="AA26" t="s">
        <v>172</v>
      </c>
      <c r="AB26" t="s">
        <v>172</v>
      </c>
      <c r="AC26" t="s">
        <v>172</v>
      </c>
      <c r="AD26" t="s">
        <v>376</v>
      </c>
      <c r="AE26">
        <v>92536</v>
      </c>
      <c r="AF26" t="s">
        <v>377</v>
      </c>
      <c r="AG26" t="s">
        <v>378</v>
      </c>
      <c r="AH26">
        <v>0</v>
      </c>
      <c r="AI26" t="s">
        <v>379</v>
      </c>
      <c r="AJ26" t="s">
        <v>380</v>
      </c>
      <c r="AK26" t="s">
        <v>381</v>
      </c>
      <c r="AL26" t="s">
        <v>382</v>
      </c>
      <c r="AM26" t="s">
        <v>383</v>
      </c>
      <c r="AN26" t="s">
        <v>384</v>
      </c>
      <c r="AO26" t="s">
        <v>385</v>
      </c>
      <c r="AP26" t="s">
        <v>386</v>
      </c>
    </row>
    <row r="27" spans="1:42" x14ac:dyDescent="0.3">
      <c r="A27" s="1">
        <v>25</v>
      </c>
      <c r="B27" t="s">
        <v>86</v>
      </c>
      <c r="C27">
        <v>1699</v>
      </c>
      <c r="D27">
        <v>1699</v>
      </c>
      <c r="E27">
        <v>34</v>
      </c>
      <c r="F27">
        <v>1</v>
      </c>
      <c r="G27">
        <v>1</v>
      </c>
      <c r="H27">
        <v>1</v>
      </c>
      <c r="I27">
        <v>4015731</v>
      </c>
      <c r="J27">
        <v>4015731</v>
      </c>
      <c r="K27">
        <v>263633</v>
      </c>
      <c r="L27">
        <v>63364</v>
      </c>
      <c r="M27">
        <v>63364</v>
      </c>
      <c r="N27">
        <v>63364</v>
      </c>
      <c r="O27">
        <v>1699</v>
      </c>
      <c r="P27">
        <v>63364</v>
      </c>
      <c r="Q27">
        <v>4015731</v>
      </c>
      <c r="R27">
        <v>98698274</v>
      </c>
      <c r="S27">
        <v>2316</v>
      </c>
      <c r="T27">
        <v>1844</v>
      </c>
      <c r="U27">
        <v>607</v>
      </c>
      <c r="V27">
        <v>1094</v>
      </c>
      <c r="W27" t="s">
        <v>172</v>
      </c>
      <c r="X27" t="s">
        <v>172</v>
      </c>
      <c r="Y27" t="s">
        <v>172</v>
      </c>
      <c r="Z27" t="s">
        <v>172</v>
      </c>
      <c r="AA27" t="s">
        <v>172</v>
      </c>
      <c r="AB27" t="s">
        <v>172</v>
      </c>
      <c r="AC27" t="s">
        <v>172</v>
      </c>
      <c r="AD27" t="s">
        <v>387</v>
      </c>
      <c r="AE27">
        <v>4005402</v>
      </c>
      <c r="AF27" t="s">
        <v>388</v>
      </c>
      <c r="AG27" t="s">
        <v>175</v>
      </c>
      <c r="AH27">
        <v>0</v>
      </c>
      <c r="AI27" t="s">
        <v>389</v>
      </c>
      <c r="AJ27" t="s">
        <v>390</v>
      </c>
      <c r="AK27" t="s">
        <v>391</v>
      </c>
      <c r="AL27" t="s">
        <v>392</v>
      </c>
      <c r="AM27" t="s">
        <v>13</v>
      </c>
      <c r="AN27" t="s">
        <v>13</v>
      </c>
      <c r="AO27" t="s">
        <v>13</v>
      </c>
      <c r="AP27" t="s">
        <v>13</v>
      </c>
    </row>
    <row r="28" spans="1:42" x14ac:dyDescent="0.3">
      <c r="A28" s="1">
        <v>26</v>
      </c>
      <c r="B28" t="s">
        <v>94</v>
      </c>
      <c r="C28">
        <v>55</v>
      </c>
      <c r="D28">
        <v>55</v>
      </c>
      <c r="E28">
        <v>15</v>
      </c>
      <c r="F28">
        <v>2</v>
      </c>
      <c r="G28">
        <v>0</v>
      </c>
      <c r="H28">
        <v>0</v>
      </c>
      <c r="I28">
        <v>233002</v>
      </c>
      <c r="J28">
        <v>233002</v>
      </c>
      <c r="K28">
        <v>117697</v>
      </c>
      <c r="L28">
        <v>21147</v>
      </c>
      <c r="M28">
        <v>0</v>
      </c>
      <c r="N28">
        <v>0</v>
      </c>
      <c r="O28">
        <v>55</v>
      </c>
      <c r="P28">
        <v>10951</v>
      </c>
      <c r="Q28">
        <v>233002</v>
      </c>
      <c r="R28">
        <v>98698274</v>
      </c>
      <c r="S28">
        <v>5182</v>
      </c>
      <c r="T28">
        <v>3142</v>
      </c>
      <c r="U28">
        <v>15</v>
      </c>
      <c r="V28">
        <v>30</v>
      </c>
      <c r="W28" t="s">
        <v>172</v>
      </c>
      <c r="X28" t="s">
        <v>172</v>
      </c>
      <c r="Y28" t="s">
        <v>172</v>
      </c>
      <c r="Z28" t="s">
        <v>172</v>
      </c>
      <c r="AA28" t="s">
        <v>172</v>
      </c>
      <c r="AB28" t="s">
        <v>172</v>
      </c>
      <c r="AC28" t="s">
        <v>193</v>
      </c>
      <c r="AD28" t="s">
        <v>393</v>
      </c>
      <c r="AE28">
        <v>230032</v>
      </c>
      <c r="AF28" t="s">
        <v>394</v>
      </c>
      <c r="AG28" t="s">
        <v>175</v>
      </c>
      <c r="AH28">
        <v>0</v>
      </c>
      <c r="AI28" t="s">
        <v>395</v>
      </c>
      <c r="AJ28" t="s">
        <v>396</v>
      </c>
      <c r="AK28" t="s">
        <v>397</v>
      </c>
      <c r="AL28" t="s">
        <v>398</v>
      </c>
      <c r="AM28" t="s">
        <v>13</v>
      </c>
      <c r="AN28" t="s">
        <v>13</v>
      </c>
      <c r="AO28" t="s">
        <v>13</v>
      </c>
      <c r="AP28" t="s">
        <v>13</v>
      </c>
    </row>
    <row r="29" spans="1:42" x14ac:dyDescent="0.3">
      <c r="A29" s="1">
        <v>27</v>
      </c>
      <c r="B29" t="s">
        <v>87</v>
      </c>
      <c r="C29">
        <v>57</v>
      </c>
      <c r="D29">
        <v>57</v>
      </c>
      <c r="E29">
        <v>36</v>
      </c>
      <c r="F29">
        <v>33</v>
      </c>
      <c r="G29">
        <v>27</v>
      </c>
      <c r="H29">
        <v>25</v>
      </c>
      <c r="I29">
        <v>4116383</v>
      </c>
      <c r="J29">
        <v>4116383</v>
      </c>
      <c r="K29">
        <v>4067004</v>
      </c>
      <c r="L29">
        <v>4048916</v>
      </c>
      <c r="M29">
        <v>3944006</v>
      </c>
      <c r="N29">
        <v>3868744</v>
      </c>
      <c r="O29">
        <v>57</v>
      </c>
      <c r="P29">
        <v>489708</v>
      </c>
      <c r="Q29">
        <v>4116383</v>
      </c>
      <c r="R29">
        <v>98698274</v>
      </c>
      <c r="S29">
        <v>156663</v>
      </c>
      <c r="T29">
        <v>100038</v>
      </c>
      <c r="U29">
        <v>7</v>
      </c>
      <c r="V29">
        <v>16</v>
      </c>
      <c r="W29" t="s">
        <v>172</v>
      </c>
      <c r="X29" t="s">
        <v>172</v>
      </c>
      <c r="Y29" t="s">
        <v>172</v>
      </c>
      <c r="Z29" t="s">
        <v>172</v>
      </c>
      <c r="AA29" t="s">
        <v>172</v>
      </c>
      <c r="AB29" t="s">
        <v>172</v>
      </c>
      <c r="AC29" t="s">
        <v>193</v>
      </c>
      <c r="AD29" t="s">
        <v>399</v>
      </c>
      <c r="AE29">
        <v>4113220</v>
      </c>
      <c r="AF29" t="s">
        <v>400</v>
      </c>
      <c r="AG29" t="s">
        <v>175</v>
      </c>
      <c r="AH29">
        <v>0</v>
      </c>
      <c r="AI29" t="s">
        <v>401</v>
      </c>
      <c r="AJ29" t="s">
        <v>177</v>
      </c>
      <c r="AK29" t="s">
        <v>402</v>
      </c>
      <c r="AL29" t="s">
        <v>403</v>
      </c>
      <c r="AM29" t="s">
        <v>13</v>
      </c>
      <c r="AN29" t="s">
        <v>13</v>
      </c>
      <c r="AO29" t="s">
        <v>13</v>
      </c>
      <c r="AP29" t="s">
        <v>13</v>
      </c>
    </row>
    <row r="30" spans="1:42" x14ac:dyDescent="0.3">
      <c r="A30" s="1">
        <v>28</v>
      </c>
      <c r="B30" t="s">
        <v>105</v>
      </c>
      <c r="C30">
        <v>321</v>
      </c>
      <c r="D30">
        <v>321</v>
      </c>
      <c r="E30">
        <v>224</v>
      </c>
      <c r="F30">
        <v>159</v>
      </c>
      <c r="G30">
        <v>76</v>
      </c>
      <c r="H30">
        <v>32</v>
      </c>
      <c r="I30">
        <v>5939922</v>
      </c>
      <c r="J30">
        <v>5939922</v>
      </c>
      <c r="K30">
        <v>5635943</v>
      </c>
      <c r="L30">
        <v>5158735</v>
      </c>
      <c r="M30">
        <v>3798312</v>
      </c>
      <c r="N30">
        <v>2176741</v>
      </c>
      <c r="O30">
        <v>321</v>
      </c>
      <c r="P30">
        <v>120904</v>
      </c>
      <c r="Q30">
        <v>5939922</v>
      </c>
      <c r="R30">
        <v>98698274</v>
      </c>
      <c r="S30">
        <v>39439</v>
      </c>
      <c r="T30">
        <v>17299</v>
      </c>
      <c r="U30">
        <v>51</v>
      </c>
      <c r="V30">
        <v>108</v>
      </c>
      <c r="W30" t="s">
        <v>404</v>
      </c>
      <c r="X30" t="s">
        <v>405</v>
      </c>
      <c r="Y30" t="s">
        <v>406</v>
      </c>
      <c r="Z30" t="s">
        <v>287</v>
      </c>
      <c r="AA30" t="s">
        <v>172</v>
      </c>
      <c r="AB30" t="s">
        <v>172</v>
      </c>
      <c r="AC30" t="s">
        <v>266</v>
      </c>
      <c r="AD30" t="s">
        <v>407</v>
      </c>
      <c r="AE30">
        <v>342962</v>
      </c>
      <c r="AF30" t="s">
        <v>408</v>
      </c>
      <c r="AG30" t="s">
        <v>280</v>
      </c>
      <c r="AH30">
        <v>0</v>
      </c>
      <c r="AI30" t="s">
        <v>409</v>
      </c>
      <c r="AJ30" t="s">
        <v>410</v>
      </c>
      <c r="AK30" t="s">
        <v>411</v>
      </c>
      <c r="AL30" t="s">
        <v>412</v>
      </c>
      <c r="AM30" t="s">
        <v>413</v>
      </c>
      <c r="AN30" t="s">
        <v>414</v>
      </c>
      <c r="AO30" t="s">
        <v>415</v>
      </c>
      <c r="AP30" t="s">
        <v>416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1B364-DB5B-48E8-B470-40082A169EA9}">
  <dimension ref="A1:AP27"/>
  <sheetViews>
    <sheetView workbookViewId="0">
      <selection activeCell="F8" sqref="F8"/>
    </sheetView>
  </sheetViews>
  <sheetFormatPr defaultRowHeight="14.4" x14ac:dyDescent="0.3"/>
  <sheetData>
    <row r="1" spans="1:42" x14ac:dyDescent="0.3"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  <c r="Y1" s="1" t="s">
        <v>153</v>
      </c>
      <c r="Z1" s="1" t="s">
        <v>154</v>
      </c>
      <c r="AA1" s="1" t="s">
        <v>155</v>
      </c>
      <c r="AB1" s="1" t="s">
        <v>156</v>
      </c>
      <c r="AC1" s="1" t="s">
        <v>157</v>
      </c>
      <c r="AD1" s="1" t="s">
        <v>158</v>
      </c>
      <c r="AE1" s="1" t="s">
        <v>159</v>
      </c>
      <c r="AF1" s="1" t="s">
        <v>160</v>
      </c>
      <c r="AG1" s="1" t="s">
        <v>161</v>
      </c>
      <c r="AH1" s="1" t="s">
        <v>162</v>
      </c>
      <c r="AI1" s="1" t="s">
        <v>163</v>
      </c>
      <c r="AJ1" s="1" t="s">
        <v>164</v>
      </c>
      <c r="AK1" s="1" t="s">
        <v>165</v>
      </c>
      <c r="AL1" s="1" t="s">
        <v>166</v>
      </c>
      <c r="AM1" s="1" t="s">
        <v>167</v>
      </c>
      <c r="AN1" s="1" t="s">
        <v>168</v>
      </c>
      <c r="AO1" s="1" t="s">
        <v>169</v>
      </c>
      <c r="AP1" s="1" t="s">
        <v>170</v>
      </c>
    </row>
    <row r="2" spans="1:42" x14ac:dyDescent="0.3">
      <c r="A2" s="1">
        <v>0</v>
      </c>
      <c r="B2" t="s">
        <v>53</v>
      </c>
      <c r="C2">
        <v>59</v>
      </c>
      <c r="D2">
        <v>59</v>
      </c>
      <c r="E2">
        <v>51</v>
      </c>
      <c r="F2">
        <v>43</v>
      </c>
      <c r="G2">
        <v>33</v>
      </c>
      <c r="H2">
        <v>20</v>
      </c>
      <c r="I2">
        <v>3173833</v>
      </c>
      <c r="J2">
        <v>3173833</v>
      </c>
      <c r="K2">
        <v>3147487</v>
      </c>
      <c r="L2">
        <v>3086471</v>
      </c>
      <c r="M2">
        <v>2898419</v>
      </c>
      <c r="N2">
        <v>2423403</v>
      </c>
      <c r="O2">
        <v>59</v>
      </c>
      <c r="P2">
        <v>366730</v>
      </c>
      <c r="Q2">
        <v>3173833</v>
      </c>
      <c r="R2">
        <v>98698274</v>
      </c>
      <c r="S2">
        <v>94955</v>
      </c>
      <c r="T2">
        <v>58873</v>
      </c>
      <c r="U2">
        <v>9</v>
      </c>
      <c r="V2">
        <v>20</v>
      </c>
      <c r="W2" t="s">
        <v>13</v>
      </c>
      <c r="X2" t="s">
        <v>13</v>
      </c>
      <c r="Y2" t="s">
        <v>13</v>
      </c>
      <c r="Z2" t="s">
        <v>13</v>
      </c>
      <c r="AA2" t="s">
        <v>13</v>
      </c>
      <c r="AB2" t="s">
        <v>13</v>
      </c>
      <c r="AC2" t="s">
        <v>13</v>
      </c>
      <c r="AD2" t="s">
        <v>417</v>
      </c>
      <c r="AE2">
        <v>3173833</v>
      </c>
      <c r="AF2" t="s">
        <v>13</v>
      </c>
      <c r="AG2" t="s">
        <v>13</v>
      </c>
      <c r="AH2">
        <v>0</v>
      </c>
      <c r="AI2" t="s">
        <v>13</v>
      </c>
      <c r="AJ2" t="s">
        <v>13</v>
      </c>
      <c r="AK2" t="s">
        <v>13</v>
      </c>
      <c r="AL2" t="s">
        <v>13</v>
      </c>
      <c r="AM2" t="s">
        <v>13</v>
      </c>
      <c r="AN2" t="s">
        <v>13</v>
      </c>
      <c r="AO2" t="s">
        <v>13</v>
      </c>
      <c r="AP2" t="s">
        <v>13</v>
      </c>
    </row>
    <row r="3" spans="1:42" x14ac:dyDescent="0.3">
      <c r="A3" s="1">
        <v>1</v>
      </c>
      <c r="B3" t="s">
        <v>55</v>
      </c>
      <c r="C3">
        <v>1820</v>
      </c>
      <c r="D3">
        <v>1820</v>
      </c>
      <c r="E3">
        <v>59</v>
      </c>
      <c r="F3">
        <v>1</v>
      </c>
      <c r="G3">
        <v>0</v>
      </c>
      <c r="H3">
        <v>0</v>
      </c>
      <c r="I3">
        <v>4502864</v>
      </c>
      <c r="J3">
        <v>4502864</v>
      </c>
      <c r="K3">
        <v>374891</v>
      </c>
      <c r="L3">
        <v>10675</v>
      </c>
      <c r="M3">
        <v>0</v>
      </c>
      <c r="N3">
        <v>0</v>
      </c>
      <c r="O3">
        <v>1820</v>
      </c>
      <c r="P3">
        <v>10675</v>
      </c>
      <c r="Q3">
        <v>4502864</v>
      </c>
      <c r="R3">
        <v>98698274</v>
      </c>
      <c r="S3">
        <v>2470</v>
      </c>
      <c r="T3">
        <v>1932</v>
      </c>
      <c r="U3">
        <v>638</v>
      </c>
      <c r="V3">
        <v>1156</v>
      </c>
      <c r="W3" t="s">
        <v>172</v>
      </c>
      <c r="X3" t="s">
        <v>172</v>
      </c>
      <c r="Y3" t="s">
        <v>172</v>
      </c>
      <c r="Z3" t="s">
        <v>172</v>
      </c>
      <c r="AA3" t="s">
        <v>172</v>
      </c>
      <c r="AB3" t="s">
        <v>172</v>
      </c>
      <c r="AC3" t="s">
        <v>172</v>
      </c>
      <c r="AD3" t="s">
        <v>418</v>
      </c>
      <c r="AE3">
        <v>4499212</v>
      </c>
      <c r="AF3" t="s">
        <v>419</v>
      </c>
      <c r="AG3" t="s">
        <v>175</v>
      </c>
      <c r="AH3">
        <v>0</v>
      </c>
      <c r="AI3" t="s">
        <v>420</v>
      </c>
      <c r="AJ3" t="s">
        <v>177</v>
      </c>
      <c r="AK3" t="s">
        <v>421</v>
      </c>
      <c r="AL3" t="s">
        <v>422</v>
      </c>
      <c r="AM3" t="s">
        <v>13</v>
      </c>
      <c r="AN3" t="s">
        <v>13</v>
      </c>
      <c r="AO3" t="s">
        <v>13</v>
      </c>
      <c r="AP3" t="s">
        <v>13</v>
      </c>
    </row>
    <row r="4" spans="1:42" x14ac:dyDescent="0.3">
      <c r="A4" s="1">
        <v>2</v>
      </c>
      <c r="B4" t="s">
        <v>90</v>
      </c>
      <c r="C4">
        <v>1281</v>
      </c>
      <c r="D4">
        <v>1281</v>
      </c>
      <c r="E4">
        <v>61</v>
      </c>
      <c r="F4">
        <v>6</v>
      </c>
      <c r="G4">
        <v>0</v>
      </c>
      <c r="H4">
        <v>0</v>
      </c>
      <c r="I4">
        <v>3227228</v>
      </c>
      <c r="J4">
        <v>3227228</v>
      </c>
      <c r="K4">
        <v>434451</v>
      </c>
      <c r="L4">
        <v>78375</v>
      </c>
      <c r="M4">
        <v>0</v>
      </c>
      <c r="N4">
        <v>0</v>
      </c>
      <c r="O4">
        <v>1281</v>
      </c>
      <c r="P4">
        <v>16504</v>
      </c>
      <c r="Q4">
        <v>3227228</v>
      </c>
      <c r="R4">
        <v>98698274</v>
      </c>
      <c r="S4">
        <v>2441</v>
      </c>
      <c r="T4">
        <v>1884</v>
      </c>
      <c r="U4">
        <v>423</v>
      </c>
      <c r="V4">
        <v>800</v>
      </c>
      <c r="W4" t="s">
        <v>172</v>
      </c>
      <c r="X4" t="s">
        <v>172</v>
      </c>
      <c r="Y4" t="s">
        <v>172</v>
      </c>
      <c r="Z4" t="s">
        <v>172</v>
      </c>
      <c r="AA4" t="s">
        <v>172</v>
      </c>
      <c r="AB4" t="s">
        <v>172</v>
      </c>
      <c r="AC4" t="s">
        <v>266</v>
      </c>
      <c r="AD4" t="s">
        <v>423</v>
      </c>
      <c r="AE4">
        <v>3111175</v>
      </c>
      <c r="AF4" t="s">
        <v>424</v>
      </c>
      <c r="AG4" t="s">
        <v>425</v>
      </c>
      <c r="AH4">
        <v>0</v>
      </c>
      <c r="AI4" t="s">
        <v>426</v>
      </c>
      <c r="AJ4" t="s">
        <v>427</v>
      </c>
      <c r="AK4" t="s">
        <v>428</v>
      </c>
      <c r="AL4" t="s">
        <v>429</v>
      </c>
      <c r="AM4" t="s">
        <v>13</v>
      </c>
      <c r="AN4" t="s">
        <v>13</v>
      </c>
      <c r="AO4" t="s">
        <v>13</v>
      </c>
      <c r="AP4" t="s">
        <v>13</v>
      </c>
    </row>
    <row r="5" spans="1:42" x14ac:dyDescent="0.3">
      <c r="A5" s="1">
        <v>3</v>
      </c>
      <c r="B5" t="s">
        <v>92</v>
      </c>
      <c r="C5">
        <v>1113</v>
      </c>
      <c r="D5">
        <v>1113</v>
      </c>
      <c r="E5">
        <v>232</v>
      </c>
      <c r="F5">
        <v>38</v>
      </c>
      <c r="G5">
        <v>2</v>
      </c>
      <c r="H5">
        <v>0</v>
      </c>
      <c r="I5">
        <v>4204664</v>
      </c>
      <c r="J5">
        <v>4204664</v>
      </c>
      <c r="K5">
        <v>1851100</v>
      </c>
      <c r="L5">
        <v>541157</v>
      </c>
      <c r="M5">
        <v>58213</v>
      </c>
      <c r="N5">
        <v>0</v>
      </c>
      <c r="O5">
        <v>1113</v>
      </c>
      <c r="P5">
        <v>32279</v>
      </c>
      <c r="Q5">
        <v>4204664</v>
      </c>
      <c r="R5">
        <v>98698274</v>
      </c>
      <c r="S5">
        <v>4430</v>
      </c>
      <c r="T5">
        <v>2751</v>
      </c>
      <c r="U5">
        <v>286</v>
      </c>
      <c r="V5">
        <v>591</v>
      </c>
      <c r="W5" t="s">
        <v>172</v>
      </c>
      <c r="X5" t="s">
        <v>172</v>
      </c>
      <c r="Y5" t="s">
        <v>172</v>
      </c>
      <c r="Z5" t="s">
        <v>172</v>
      </c>
      <c r="AA5" t="s">
        <v>172</v>
      </c>
      <c r="AB5" t="s">
        <v>172</v>
      </c>
      <c r="AC5" t="s">
        <v>181</v>
      </c>
      <c r="AD5" t="s">
        <v>430</v>
      </c>
      <c r="AE5">
        <v>4096553</v>
      </c>
      <c r="AF5" t="s">
        <v>431</v>
      </c>
      <c r="AG5" t="s">
        <v>366</v>
      </c>
      <c r="AH5">
        <v>0</v>
      </c>
      <c r="AI5" t="s">
        <v>432</v>
      </c>
      <c r="AJ5" t="s">
        <v>433</v>
      </c>
      <c r="AK5" t="s">
        <v>434</v>
      </c>
      <c r="AL5" t="s">
        <v>435</v>
      </c>
      <c r="AM5" t="s">
        <v>13</v>
      </c>
      <c r="AN5" t="s">
        <v>13</v>
      </c>
      <c r="AO5" t="s">
        <v>13</v>
      </c>
      <c r="AP5" t="s">
        <v>13</v>
      </c>
    </row>
    <row r="6" spans="1:42" x14ac:dyDescent="0.3">
      <c r="A6" s="1">
        <v>4</v>
      </c>
      <c r="B6" t="s">
        <v>80</v>
      </c>
      <c r="C6">
        <v>9</v>
      </c>
      <c r="D6">
        <v>9</v>
      </c>
      <c r="E6">
        <v>6</v>
      </c>
      <c r="F6">
        <v>4</v>
      </c>
      <c r="G6">
        <v>3</v>
      </c>
      <c r="H6">
        <v>1</v>
      </c>
      <c r="I6">
        <v>209852</v>
      </c>
      <c r="J6">
        <v>209852</v>
      </c>
      <c r="K6">
        <v>200143</v>
      </c>
      <c r="L6">
        <v>184360</v>
      </c>
      <c r="M6">
        <v>166028</v>
      </c>
      <c r="N6">
        <v>78611</v>
      </c>
      <c r="O6">
        <v>9</v>
      </c>
      <c r="P6">
        <v>78611</v>
      </c>
      <c r="Q6">
        <v>209852</v>
      </c>
      <c r="R6">
        <v>98698274</v>
      </c>
      <c r="S6">
        <v>47035</v>
      </c>
      <c r="T6">
        <v>40382</v>
      </c>
      <c r="U6">
        <v>2</v>
      </c>
      <c r="V6">
        <v>3</v>
      </c>
      <c r="W6" t="s">
        <v>172</v>
      </c>
      <c r="X6" t="s">
        <v>172</v>
      </c>
      <c r="Y6" t="s">
        <v>172</v>
      </c>
      <c r="Z6" t="s">
        <v>172</v>
      </c>
      <c r="AA6" t="s">
        <v>172</v>
      </c>
      <c r="AB6" t="s">
        <v>172</v>
      </c>
      <c r="AC6" t="s">
        <v>172</v>
      </c>
      <c r="AD6" t="s">
        <v>309</v>
      </c>
      <c r="AE6">
        <v>18224</v>
      </c>
      <c r="AF6" t="s">
        <v>436</v>
      </c>
      <c r="AG6" t="s">
        <v>175</v>
      </c>
      <c r="AH6">
        <v>0</v>
      </c>
      <c r="AI6" t="s">
        <v>437</v>
      </c>
      <c r="AJ6" t="s">
        <v>438</v>
      </c>
      <c r="AK6" t="s">
        <v>439</v>
      </c>
      <c r="AL6" t="s">
        <v>440</v>
      </c>
      <c r="AM6" t="s">
        <v>441</v>
      </c>
      <c r="AN6" t="s">
        <v>442</v>
      </c>
      <c r="AO6" t="s">
        <v>266</v>
      </c>
      <c r="AP6" t="s">
        <v>223</v>
      </c>
    </row>
    <row r="7" spans="1:42" x14ac:dyDescent="0.3">
      <c r="A7" s="1">
        <v>5</v>
      </c>
      <c r="B7" t="s">
        <v>57</v>
      </c>
      <c r="C7">
        <v>37</v>
      </c>
      <c r="D7">
        <v>37</v>
      </c>
      <c r="E7">
        <v>31</v>
      </c>
      <c r="F7">
        <v>30</v>
      </c>
      <c r="G7">
        <v>26</v>
      </c>
      <c r="H7">
        <v>25</v>
      </c>
      <c r="I7">
        <v>3987548</v>
      </c>
      <c r="J7">
        <v>3987548</v>
      </c>
      <c r="K7">
        <v>3976838</v>
      </c>
      <c r="L7">
        <v>3969112</v>
      </c>
      <c r="M7">
        <v>3900591</v>
      </c>
      <c r="N7">
        <v>3874369</v>
      </c>
      <c r="O7">
        <v>37</v>
      </c>
      <c r="P7">
        <v>485247</v>
      </c>
      <c r="Q7">
        <v>3987548</v>
      </c>
      <c r="R7">
        <v>98698274</v>
      </c>
      <c r="S7">
        <v>167310</v>
      </c>
      <c r="T7">
        <v>100457</v>
      </c>
      <c r="U7">
        <v>7</v>
      </c>
      <c r="V7">
        <v>15</v>
      </c>
      <c r="W7" t="s">
        <v>172</v>
      </c>
      <c r="X7" t="s">
        <v>172</v>
      </c>
      <c r="Y7" t="s">
        <v>172</v>
      </c>
      <c r="Z7" t="s">
        <v>172</v>
      </c>
      <c r="AA7" t="s">
        <v>172</v>
      </c>
      <c r="AB7" t="s">
        <v>172</v>
      </c>
      <c r="AC7" t="s">
        <v>172</v>
      </c>
      <c r="AD7" t="s">
        <v>443</v>
      </c>
      <c r="AE7">
        <v>3985694</v>
      </c>
      <c r="AF7" t="s">
        <v>444</v>
      </c>
      <c r="AG7" t="s">
        <v>175</v>
      </c>
      <c r="AH7">
        <v>0</v>
      </c>
      <c r="AI7" t="s">
        <v>445</v>
      </c>
      <c r="AJ7" t="s">
        <v>177</v>
      </c>
      <c r="AK7" t="s">
        <v>446</v>
      </c>
      <c r="AL7" t="s">
        <v>447</v>
      </c>
      <c r="AM7" t="s">
        <v>13</v>
      </c>
      <c r="AN7" t="s">
        <v>13</v>
      </c>
      <c r="AO7" t="s">
        <v>13</v>
      </c>
      <c r="AP7" t="s">
        <v>13</v>
      </c>
    </row>
    <row r="8" spans="1:42" x14ac:dyDescent="0.3">
      <c r="A8" s="1">
        <v>6</v>
      </c>
      <c r="B8" t="s">
        <v>100</v>
      </c>
      <c r="C8">
        <v>158</v>
      </c>
      <c r="D8">
        <v>158</v>
      </c>
      <c r="E8">
        <v>120</v>
      </c>
      <c r="F8">
        <v>87</v>
      </c>
      <c r="G8">
        <v>49</v>
      </c>
      <c r="H8">
        <v>31</v>
      </c>
      <c r="I8">
        <v>6992492</v>
      </c>
      <c r="J8">
        <v>6992492</v>
      </c>
      <c r="K8">
        <v>6861634</v>
      </c>
      <c r="L8">
        <v>6627059</v>
      </c>
      <c r="M8">
        <v>6038099</v>
      </c>
      <c r="N8">
        <v>5391139</v>
      </c>
      <c r="O8">
        <v>158</v>
      </c>
      <c r="P8">
        <v>504292</v>
      </c>
      <c r="Q8">
        <v>6992492</v>
      </c>
      <c r="R8">
        <v>98698274</v>
      </c>
      <c r="S8">
        <v>157042</v>
      </c>
      <c r="T8">
        <v>57609</v>
      </c>
      <c r="U8">
        <v>12</v>
      </c>
      <c r="V8">
        <v>29</v>
      </c>
      <c r="W8" t="s">
        <v>172</v>
      </c>
      <c r="X8" t="s">
        <v>172</v>
      </c>
      <c r="Y8" t="s">
        <v>172</v>
      </c>
      <c r="Z8" t="s">
        <v>193</v>
      </c>
      <c r="AA8" t="s">
        <v>172</v>
      </c>
      <c r="AB8" t="s">
        <v>172</v>
      </c>
      <c r="AC8" t="s">
        <v>172</v>
      </c>
      <c r="AD8" t="s">
        <v>448</v>
      </c>
      <c r="AE8">
        <v>16835</v>
      </c>
      <c r="AF8" t="s">
        <v>449</v>
      </c>
      <c r="AG8" t="s">
        <v>292</v>
      </c>
      <c r="AH8">
        <v>0</v>
      </c>
      <c r="AI8" t="s">
        <v>450</v>
      </c>
      <c r="AJ8" t="s">
        <v>451</v>
      </c>
      <c r="AK8" t="s">
        <v>452</v>
      </c>
      <c r="AL8" t="s">
        <v>453</v>
      </c>
      <c r="AM8" t="s">
        <v>454</v>
      </c>
      <c r="AN8" t="s">
        <v>455</v>
      </c>
      <c r="AO8" t="s">
        <v>456</v>
      </c>
      <c r="AP8" t="s">
        <v>457</v>
      </c>
    </row>
    <row r="9" spans="1:42" x14ac:dyDescent="0.3">
      <c r="A9" s="1">
        <v>7</v>
      </c>
      <c r="B9" t="s">
        <v>82</v>
      </c>
      <c r="C9">
        <v>56</v>
      </c>
      <c r="D9">
        <v>56</v>
      </c>
      <c r="E9">
        <v>23</v>
      </c>
      <c r="F9">
        <v>9</v>
      </c>
      <c r="G9">
        <v>1</v>
      </c>
      <c r="H9">
        <v>1</v>
      </c>
      <c r="I9">
        <v>407025</v>
      </c>
      <c r="J9">
        <v>407025</v>
      </c>
      <c r="K9">
        <v>319164</v>
      </c>
      <c r="L9">
        <v>224288</v>
      </c>
      <c r="M9">
        <v>67560</v>
      </c>
      <c r="N9">
        <v>67560</v>
      </c>
      <c r="O9">
        <v>56</v>
      </c>
      <c r="P9">
        <v>67560</v>
      </c>
      <c r="Q9">
        <v>407025</v>
      </c>
      <c r="R9">
        <v>98698274</v>
      </c>
      <c r="S9">
        <v>16483</v>
      </c>
      <c r="T9">
        <v>5239</v>
      </c>
      <c r="U9">
        <v>8</v>
      </c>
      <c r="V9">
        <v>21</v>
      </c>
      <c r="W9" t="s">
        <v>172</v>
      </c>
      <c r="X9" t="s">
        <v>172</v>
      </c>
      <c r="Y9" t="s">
        <v>172</v>
      </c>
      <c r="Z9" t="s">
        <v>172</v>
      </c>
      <c r="AA9" t="s">
        <v>172</v>
      </c>
      <c r="AB9" t="s">
        <v>172</v>
      </c>
      <c r="AC9" t="s">
        <v>172</v>
      </c>
      <c r="AD9" t="s">
        <v>458</v>
      </c>
      <c r="AE9">
        <v>240713</v>
      </c>
      <c r="AF9" t="s">
        <v>459</v>
      </c>
      <c r="AG9" t="s">
        <v>292</v>
      </c>
      <c r="AH9">
        <v>0</v>
      </c>
      <c r="AI9" t="s">
        <v>460</v>
      </c>
      <c r="AJ9" t="s">
        <v>461</v>
      </c>
      <c r="AK9" t="s">
        <v>462</v>
      </c>
      <c r="AL9" t="s">
        <v>463</v>
      </c>
      <c r="AM9" t="s">
        <v>13</v>
      </c>
      <c r="AN9" t="s">
        <v>13</v>
      </c>
      <c r="AO9" t="s">
        <v>13</v>
      </c>
      <c r="AP9" t="s">
        <v>13</v>
      </c>
    </row>
    <row r="10" spans="1:42" x14ac:dyDescent="0.3">
      <c r="A10" s="1">
        <v>8</v>
      </c>
      <c r="B10" t="s">
        <v>107</v>
      </c>
      <c r="C10">
        <v>72</v>
      </c>
      <c r="D10">
        <v>72</v>
      </c>
      <c r="E10">
        <v>68</v>
      </c>
      <c r="F10">
        <v>68</v>
      </c>
      <c r="G10">
        <v>58</v>
      </c>
      <c r="H10">
        <v>48</v>
      </c>
      <c r="I10">
        <v>7407378</v>
      </c>
      <c r="J10">
        <v>7407378</v>
      </c>
      <c r="K10">
        <v>7395952</v>
      </c>
      <c r="L10">
        <v>7395952</v>
      </c>
      <c r="M10">
        <v>7242148</v>
      </c>
      <c r="N10">
        <v>6869858</v>
      </c>
      <c r="O10">
        <v>72</v>
      </c>
      <c r="P10">
        <v>501070</v>
      </c>
      <c r="Q10">
        <v>7407378</v>
      </c>
      <c r="R10">
        <v>98698274</v>
      </c>
      <c r="S10">
        <v>141139</v>
      </c>
      <c r="T10">
        <v>84458</v>
      </c>
      <c r="U10">
        <v>13</v>
      </c>
      <c r="V10">
        <v>30</v>
      </c>
      <c r="W10" t="s">
        <v>172</v>
      </c>
      <c r="X10" t="s">
        <v>172</v>
      </c>
      <c r="Y10" t="s">
        <v>172</v>
      </c>
      <c r="Z10" t="s">
        <v>193</v>
      </c>
      <c r="AA10" t="s">
        <v>172</v>
      </c>
      <c r="AB10" t="s">
        <v>172</v>
      </c>
      <c r="AC10" t="s">
        <v>172</v>
      </c>
      <c r="AD10" t="s">
        <v>309</v>
      </c>
      <c r="AE10">
        <v>1679</v>
      </c>
      <c r="AF10" t="s">
        <v>464</v>
      </c>
      <c r="AG10" t="s">
        <v>366</v>
      </c>
      <c r="AH10">
        <v>0</v>
      </c>
      <c r="AI10" t="s">
        <v>465</v>
      </c>
      <c r="AJ10" t="s">
        <v>466</v>
      </c>
      <c r="AK10" t="s">
        <v>467</v>
      </c>
      <c r="AL10" t="s">
        <v>468</v>
      </c>
      <c r="AM10" t="s">
        <v>469</v>
      </c>
      <c r="AN10" t="s">
        <v>470</v>
      </c>
      <c r="AO10" t="s">
        <v>325</v>
      </c>
      <c r="AP10" t="s">
        <v>405</v>
      </c>
    </row>
    <row r="11" spans="1:42" x14ac:dyDescent="0.3">
      <c r="A11" s="1">
        <v>9</v>
      </c>
      <c r="B11" t="s">
        <v>88</v>
      </c>
      <c r="C11">
        <v>39</v>
      </c>
      <c r="D11">
        <v>39</v>
      </c>
      <c r="E11">
        <v>38</v>
      </c>
      <c r="F11">
        <v>31</v>
      </c>
      <c r="G11">
        <v>17</v>
      </c>
      <c r="H11">
        <v>11</v>
      </c>
      <c r="I11">
        <v>1362741</v>
      </c>
      <c r="J11">
        <v>1362741</v>
      </c>
      <c r="K11">
        <v>1358915</v>
      </c>
      <c r="L11">
        <v>1304191</v>
      </c>
      <c r="M11">
        <v>1049183</v>
      </c>
      <c r="N11">
        <v>838613</v>
      </c>
      <c r="O11">
        <v>39</v>
      </c>
      <c r="P11">
        <v>129858</v>
      </c>
      <c r="Q11">
        <v>1362741</v>
      </c>
      <c r="R11">
        <v>98698274</v>
      </c>
      <c r="S11">
        <v>60592</v>
      </c>
      <c r="T11">
        <v>26717</v>
      </c>
      <c r="U11">
        <v>9</v>
      </c>
      <c r="V11">
        <v>16</v>
      </c>
      <c r="W11" t="s">
        <v>13</v>
      </c>
      <c r="X11" t="s">
        <v>13</v>
      </c>
      <c r="Y11" t="s">
        <v>13</v>
      </c>
      <c r="Z11" t="s">
        <v>13</v>
      </c>
      <c r="AA11" t="s">
        <v>13</v>
      </c>
      <c r="AB11" t="s">
        <v>13</v>
      </c>
      <c r="AC11" t="s">
        <v>13</v>
      </c>
      <c r="AD11" t="s">
        <v>471</v>
      </c>
      <c r="AE11">
        <v>1362741</v>
      </c>
      <c r="AF11" t="s">
        <v>13</v>
      </c>
      <c r="AG11" t="s">
        <v>13</v>
      </c>
      <c r="AH11">
        <v>0</v>
      </c>
      <c r="AI11" t="s">
        <v>13</v>
      </c>
      <c r="AJ11" t="s">
        <v>13</v>
      </c>
      <c r="AK11" t="s">
        <v>13</v>
      </c>
      <c r="AL11" t="s">
        <v>13</v>
      </c>
      <c r="AM11" t="s">
        <v>13</v>
      </c>
      <c r="AN11" t="s">
        <v>13</v>
      </c>
      <c r="AO11" t="s">
        <v>13</v>
      </c>
      <c r="AP11" t="s">
        <v>13</v>
      </c>
    </row>
    <row r="12" spans="1:42" x14ac:dyDescent="0.3">
      <c r="A12" s="1">
        <v>10</v>
      </c>
      <c r="B12" t="s">
        <v>103</v>
      </c>
      <c r="C12">
        <v>146</v>
      </c>
      <c r="D12">
        <v>146</v>
      </c>
      <c r="E12">
        <v>118</v>
      </c>
      <c r="F12">
        <v>95</v>
      </c>
      <c r="G12">
        <v>70</v>
      </c>
      <c r="H12">
        <v>47</v>
      </c>
      <c r="I12">
        <v>6770510</v>
      </c>
      <c r="J12">
        <v>6770510</v>
      </c>
      <c r="K12">
        <v>6688886</v>
      </c>
      <c r="L12">
        <v>6536218</v>
      </c>
      <c r="M12">
        <v>6126967</v>
      </c>
      <c r="N12">
        <v>5304784</v>
      </c>
      <c r="O12">
        <v>146</v>
      </c>
      <c r="P12">
        <v>348386</v>
      </c>
      <c r="Q12">
        <v>6770510</v>
      </c>
      <c r="R12">
        <v>98698274</v>
      </c>
      <c r="S12">
        <v>95630</v>
      </c>
      <c r="T12">
        <v>54037</v>
      </c>
      <c r="U12">
        <v>20</v>
      </c>
      <c r="V12">
        <v>43</v>
      </c>
      <c r="W12" t="s">
        <v>212</v>
      </c>
      <c r="X12" t="s">
        <v>223</v>
      </c>
      <c r="Y12" t="s">
        <v>472</v>
      </c>
      <c r="Z12" t="s">
        <v>172</v>
      </c>
      <c r="AA12" t="s">
        <v>172</v>
      </c>
      <c r="AB12" t="s">
        <v>172</v>
      </c>
      <c r="AC12" t="s">
        <v>172</v>
      </c>
      <c r="AD12" t="s">
        <v>214</v>
      </c>
      <c r="AE12">
        <v>0</v>
      </c>
      <c r="AF12" t="s">
        <v>473</v>
      </c>
      <c r="AG12" t="s">
        <v>292</v>
      </c>
      <c r="AH12">
        <v>0</v>
      </c>
      <c r="AI12" t="s">
        <v>474</v>
      </c>
      <c r="AJ12" t="s">
        <v>475</v>
      </c>
      <c r="AK12" t="s">
        <v>476</v>
      </c>
      <c r="AL12" t="s">
        <v>477</v>
      </c>
      <c r="AM12" t="s">
        <v>478</v>
      </c>
      <c r="AN12" t="s">
        <v>479</v>
      </c>
      <c r="AO12" t="s">
        <v>385</v>
      </c>
      <c r="AP12" t="s">
        <v>204</v>
      </c>
    </row>
    <row r="13" spans="1:42" x14ac:dyDescent="0.3">
      <c r="A13" s="1">
        <v>11</v>
      </c>
      <c r="B13" t="s">
        <v>59</v>
      </c>
      <c r="C13">
        <v>187</v>
      </c>
      <c r="D13">
        <v>187</v>
      </c>
      <c r="E13">
        <v>147</v>
      </c>
      <c r="F13">
        <v>110</v>
      </c>
      <c r="G13">
        <v>66</v>
      </c>
      <c r="H13">
        <v>40</v>
      </c>
      <c r="I13">
        <v>7536621</v>
      </c>
      <c r="J13">
        <v>7536621</v>
      </c>
      <c r="K13">
        <v>7410787</v>
      </c>
      <c r="L13">
        <v>7134911</v>
      </c>
      <c r="M13">
        <v>6445163</v>
      </c>
      <c r="N13">
        <v>5477739</v>
      </c>
      <c r="O13">
        <v>187</v>
      </c>
      <c r="P13">
        <v>333282</v>
      </c>
      <c r="Q13">
        <v>7536621</v>
      </c>
      <c r="R13">
        <v>98698274</v>
      </c>
      <c r="S13">
        <v>113577</v>
      </c>
      <c r="T13">
        <v>47645</v>
      </c>
      <c r="U13">
        <v>19</v>
      </c>
      <c r="V13">
        <v>44</v>
      </c>
      <c r="W13" t="s">
        <v>172</v>
      </c>
      <c r="X13" t="s">
        <v>172</v>
      </c>
      <c r="Y13" t="s">
        <v>172</v>
      </c>
      <c r="Z13" t="s">
        <v>172</v>
      </c>
      <c r="AA13" t="s">
        <v>172</v>
      </c>
      <c r="AB13" t="s">
        <v>172</v>
      </c>
      <c r="AC13" t="s">
        <v>172</v>
      </c>
      <c r="AD13" t="s">
        <v>480</v>
      </c>
      <c r="AE13">
        <v>7535864</v>
      </c>
      <c r="AF13" t="s">
        <v>225</v>
      </c>
      <c r="AG13" t="s">
        <v>175</v>
      </c>
      <c r="AH13">
        <v>0</v>
      </c>
      <c r="AI13" t="s">
        <v>481</v>
      </c>
      <c r="AJ13" t="s">
        <v>177</v>
      </c>
      <c r="AK13" t="s">
        <v>227</v>
      </c>
      <c r="AL13" t="s">
        <v>482</v>
      </c>
      <c r="AM13" t="s">
        <v>13</v>
      </c>
      <c r="AN13" t="s">
        <v>13</v>
      </c>
      <c r="AO13" t="s">
        <v>13</v>
      </c>
      <c r="AP13" t="s">
        <v>13</v>
      </c>
    </row>
    <row r="14" spans="1:42" x14ac:dyDescent="0.3">
      <c r="A14" s="1">
        <v>12</v>
      </c>
      <c r="B14" t="s">
        <v>89</v>
      </c>
      <c r="C14">
        <v>206</v>
      </c>
      <c r="D14">
        <v>206</v>
      </c>
      <c r="E14">
        <v>164</v>
      </c>
      <c r="F14">
        <v>111</v>
      </c>
      <c r="G14">
        <v>49</v>
      </c>
      <c r="H14">
        <v>19</v>
      </c>
      <c r="I14">
        <v>4173634</v>
      </c>
      <c r="J14">
        <v>4173634</v>
      </c>
      <c r="K14">
        <v>4032190</v>
      </c>
      <c r="L14">
        <v>3654319</v>
      </c>
      <c r="M14">
        <v>2697373</v>
      </c>
      <c r="N14">
        <v>1614365</v>
      </c>
      <c r="O14">
        <v>206</v>
      </c>
      <c r="P14">
        <v>177215</v>
      </c>
      <c r="Q14">
        <v>4173634</v>
      </c>
      <c r="R14">
        <v>98698274</v>
      </c>
      <c r="S14">
        <v>38701</v>
      </c>
      <c r="T14">
        <v>16197</v>
      </c>
      <c r="U14">
        <v>30</v>
      </c>
      <c r="V14">
        <v>71</v>
      </c>
      <c r="W14" t="s">
        <v>172</v>
      </c>
      <c r="X14" t="s">
        <v>172</v>
      </c>
      <c r="Y14" t="s">
        <v>172</v>
      </c>
      <c r="Z14" t="s">
        <v>212</v>
      </c>
      <c r="AA14" t="s">
        <v>172</v>
      </c>
      <c r="AB14" t="s">
        <v>172</v>
      </c>
      <c r="AC14" t="s">
        <v>172</v>
      </c>
      <c r="AD14" t="s">
        <v>214</v>
      </c>
      <c r="AE14">
        <v>0</v>
      </c>
      <c r="AF14" t="s">
        <v>483</v>
      </c>
      <c r="AG14" t="s">
        <v>175</v>
      </c>
      <c r="AH14">
        <v>0</v>
      </c>
      <c r="AI14" t="s">
        <v>484</v>
      </c>
      <c r="AJ14" t="s">
        <v>465</v>
      </c>
      <c r="AK14" t="s">
        <v>485</v>
      </c>
      <c r="AL14" t="s">
        <v>486</v>
      </c>
      <c r="AM14" t="s">
        <v>487</v>
      </c>
      <c r="AN14" t="s">
        <v>488</v>
      </c>
      <c r="AO14" t="s">
        <v>405</v>
      </c>
      <c r="AP14" t="s">
        <v>489</v>
      </c>
    </row>
    <row r="15" spans="1:42" x14ac:dyDescent="0.3">
      <c r="A15" s="1">
        <v>13</v>
      </c>
      <c r="B15" t="s">
        <v>83</v>
      </c>
      <c r="C15">
        <v>615</v>
      </c>
      <c r="D15">
        <v>615</v>
      </c>
      <c r="E15">
        <v>7</v>
      </c>
      <c r="F15">
        <v>1</v>
      </c>
      <c r="G15">
        <v>0</v>
      </c>
      <c r="H15">
        <v>0</v>
      </c>
      <c r="I15">
        <v>1400839</v>
      </c>
      <c r="J15">
        <v>1400839</v>
      </c>
      <c r="K15">
        <v>53793</v>
      </c>
      <c r="L15">
        <v>14721</v>
      </c>
      <c r="M15">
        <v>0</v>
      </c>
      <c r="N15">
        <v>0</v>
      </c>
      <c r="O15">
        <v>615</v>
      </c>
      <c r="P15">
        <v>14721</v>
      </c>
      <c r="Q15">
        <v>1400839</v>
      </c>
      <c r="R15">
        <v>98698274</v>
      </c>
      <c r="S15">
        <v>2248</v>
      </c>
      <c r="T15">
        <v>1810</v>
      </c>
      <c r="U15">
        <v>228</v>
      </c>
      <c r="V15">
        <v>402</v>
      </c>
      <c r="W15" t="s">
        <v>172</v>
      </c>
      <c r="X15" t="s">
        <v>172</v>
      </c>
      <c r="Y15" t="s">
        <v>172</v>
      </c>
      <c r="Z15" t="s">
        <v>172</v>
      </c>
      <c r="AA15" t="s">
        <v>172</v>
      </c>
      <c r="AB15" t="s">
        <v>172</v>
      </c>
      <c r="AC15" t="s">
        <v>229</v>
      </c>
      <c r="AD15" t="s">
        <v>490</v>
      </c>
      <c r="AE15">
        <v>1366865</v>
      </c>
      <c r="AF15" t="s">
        <v>491</v>
      </c>
      <c r="AG15" t="s">
        <v>175</v>
      </c>
      <c r="AH15">
        <v>0</v>
      </c>
      <c r="AI15" t="s">
        <v>492</v>
      </c>
      <c r="AJ15" t="s">
        <v>493</v>
      </c>
      <c r="AK15" t="s">
        <v>494</v>
      </c>
      <c r="AL15" t="s">
        <v>495</v>
      </c>
      <c r="AM15" t="s">
        <v>13</v>
      </c>
      <c r="AN15" t="s">
        <v>13</v>
      </c>
      <c r="AO15" t="s">
        <v>13</v>
      </c>
      <c r="AP15" t="s">
        <v>13</v>
      </c>
    </row>
    <row r="16" spans="1:42" x14ac:dyDescent="0.3">
      <c r="A16" s="1">
        <v>14</v>
      </c>
      <c r="B16" t="s">
        <v>61</v>
      </c>
      <c r="C16">
        <v>621</v>
      </c>
      <c r="D16">
        <v>621</v>
      </c>
      <c r="E16">
        <v>201</v>
      </c>
      <c r="F16">
        <v>32</v>
      </c>
      <c r="G16">
        <v>1</v>
      </c>
      <c r="H16">
        <v>1</v>
      </c>
      <c r="I16">
        <v>2809375</v>
      </c>
      <c r="J16">
        <v>2809375</v>
      </c>
      <c r="K16">
        <v>1589127</v>
      </c>
      <c r="L16">
        <v>432800</v>
      </c>
      <c r="M16">
        <v>50068</v>
      </c>
      <c r="N16">
        <v>50068</v>
      </c>
      <c r="O16">
        <v>621</v>
      </c>
      <c r="P16">
        <v>50068</v>
      </c>
      <c r="Q16">
        <v>2809375</v>
      </c>
      <c r="R16">
        <v>98698274</v>
      </c>
      <c r="S16">
        <v>5579</v>
      </c>
      <c r="T16">
        <v>3432</v>
      </c>
      <c r="U16">
        <v>167</v>
      </c>
      <c r="V16">
        <v>326</v>
      </c>
      <c r="W16" t="s">
        <v>13</v>
      </c>
      <c r="X16" t="s">
        <v>13</v>
      </c>
      <c r="Y16" t="s">
        <v>13</v>
      </c>
      <c r="Z16" t="s">
        <v>13</v>
      </c>
      <c r="AA16" t="s">
        <v>13</v>
      </c>
      <c r="AB16" t="s">
        <v>13</v>
      </c>
      <c r="AC16" t="s">
        <v>13</v>
      </c>
      <c r="AD16" t="s">
        <v>496</v>
      </c>
      <c r="AE16">
        <v>2809375</v>
      </c>
      <c r="AF16" t="s">
        <v>13</v>
      </c>
      <c r="AG16" t="s">
        <v>13</v>
      </c>
      <c r="AH16">
        <v>0</v>
      </c>
      <c r="AI16" t="s">
        <v>13</v>
      </c>
      <c r="AJ16" t="s">
        <v>13</v>
      </c>
      <c r="AK16" t="s">
        <v>13</v>
      </c>
      <c r="AL16" t="s">
        <v>13</v>
      </c>
      <c r="AM16" t="s">
        <v>13</v>
      </c>
      <c r="AN16" t="s">
        <v>13</v>
      </c>
      <c r="AO16" t="s">
        <v>13</v>
      </c>
      <c r="AP16" t="s">
        <v>13</v>
      </c>
    </row>
    <row r="17" spans="1:42" x14ac:dyDescent="0.3">
      <c r="A17" s="1">
        <v>15</v>
      </c>
      <c r="B17" t="s">
        <v>84</v>
      </c>
      <c r="C17">
        <v>50</v>
      </c>
      <c r="D17">
        <v>50</v>
      </c>
      <c r="E17">
        <v>19</v>
      </c>
      <c r="F17">
        <v>9</v>
      </c>
      <c r="G17">
        <v>1</v>
      </c>
      <c r="H17">
        <v>0</v>
      </c>
      <c r="I17">
        <v>300000</v>
      </c>
      <c r="J17">
        <v>300000</v>
      </c>
      <c r="K17">
        <v>216821</v>
      </c>
      <c r="L17">
        <v>151535</v>
      </c>
      <c r="M17">
        <v>33064</v>
      </c>
      <c r="N17">
        <v>0</v>
      </c>
      <c r="O17">
        <v>50</v>
      </c>
      <c r="P17">
        <v>33064</v>
      </c>
      <c r="Q17">
        <v>300000</v>
      </c>
      <c r="R17">
        <v>98698274</v>
      </c>
      <c r="S17">
        <v>10218</v>
      </c>
      <c r="T17">
        <v>3824</v>
      </c>
      <c r="U17">
        <v>9</v>
      </c>
      <c r="V17">
        <v>21</v>
      </c>
      <c r="W17" t="s">
        <v>172</v>
      </c>
      <c r="X17" t="s">
        <v>172</v>
      </c>
      <c r="Y17" t="s">
        <v>172</v>
      </c>
      <c r="Z17" t="s">
        <v>172</v>
      </c>
      <c r="AA17" t="s">
        <v>172</v>
      </c>
      <c r="AB17" t="s">
        <v>172</v>
      </c>
      <c r="AC17" t="s">
        <v>172</v>
      </c>
      <c r="AD17" t="s">
        <v>497</v>
      </c>
      <c r="AE17">
        <v>299821</v>
      </c>
      <c r="AF17" t="s">
        <v>206</v>
      </c>
      <c r="AG17" t="s">
        <v>175</v>
      </c>
      <c r="AH17">
        <v>0</v>
      </c>
      <c r="AI17" t="s">
        <v>498</v>
      </c>
      <c r="AJ17" t="s">
        <v>177</v>
      </c>
      <c r="AK17" t="s">
        <v>499</v>
      </c>
      <c r="AL17" t="s">
        <v>500</v>
      </c>
      <c r="AM17" t="s">
        <v>13</v>
      </c>
      <c r="AN17" t="s">
        <v>13</v>
      </c>
      <c r="AO17" t="s">
        <v>13</v>
      </c>
      <c r="AP17" t="s">
        <v>13</v>
      </c>
    </row>
    <row r="18" spans="1:42" x14ac:dyDescent="0.3">
      <c r="A18" s="1">
        <v>16</v>
      </c>
      <c r="B18" t="s">
        <v>95</v>
      </c>
      <c r="C18">
        <v>1046</v>
      </c>
      <c r="D18">
        <v>1046</v>
      </c>
      <c r="E18">
        <v>134</v>
      </c>
      <c r="F18">
        <v>10</v>
      </c>
      <c r="G18">
        <v>0</v>
      </c>
      <c r="H18">
        <v>0</v>
      </c>
      <c r="I18">
        <v>3426654</v>
      </c>
      <c r="J18">
        <v>3426654</v>
      </c>
      <c r="K18">
        <v>919274</v>
      </c>
      <c r="L18">
        <v>122734</v>
      </c>
      <c r="M18">
        <v>0</v>
      </c>
      <c r="N18">
        <v>0</v>
      </c>
      <c r="O18">
        <v>1046</v>
      </c>
      <c r="P18">
        <v>19157</v>
      </c>
      <c r="Q18">
        <v>3426654</v>
      </c>
      <c r="R18">
        <v>98698274</v>
      </c>
      <c r="S18">
        <v>3514</v>
      </c>
      <c r="T18">
        <v>2516</v>
      </c>
      <c r="U18">
        <v>325</v>
      </c>
      <c r="V18">
        <v>615</v>
      </c>
      <c r="W18" t="s">
        <v>193</v>
      </c>
      <c r="X18" t="s">
        <v>193</v>
      </c>
      <c r="Y18" t="s">
        <v>501</v>
      </c>
      <c r="Z18" t="s">
        <v>223</v>
      </c>
      <c r="AA18" t="s">
        <v>172</v>
      </c>
      <c r="AB18" t="s">
        <v>172</v>
      </c>
      <c r="AC18" t="s">
        <v>193</v>
      </c>
      <c r="AD18" t="s">
        <v>502</v>
      </c>
      <c r="AE18">
        <v>59688</v>
      </c>
      <c r="AF18" t="s">
        <v>503</v>
      </c>
      <c r="AG18" t="s">
        <v>292</v>
      </c>
      <c r="AH18">
        <v>0</v>
      </c>
      <c r="AI18" t="s">
        <v>504</v>
      </c>
      <c r="AJ18" t="s">
        <v>505</v>
      </c>
      <c r="AK18" t="s">
        <v>506</v>
      </c>
      <c r="AL18" t="s">
        <v>507</v>
      </c>
      <c r="AM18" t="s">
        <v>508</v>
      </c>
      <c r="AN18" t="s">
        <v>509</v>
      </c>
      <c r="AO18" t="s">
        <v>510</v>
      </c>
      <c r="AP18" t="s">
        <v>511</v>
      </c>
    </row>
    <row r="19" spans="1:42" x14ac:dyDescent="0.3">
      <c r="A19" s="1">
        <v>17</v>
      </c>
      <c r="B19" t="s">
        <v>85</v>
      </c>
      <c r="C19">
        <v>2</v>
      </c>
      <c r="D19">
        <v>2</v>
      </c>
      <c r="E19">
        <v>2</v>
      </c>
      <c r="F19">
        <v>2</v>
      </c>
      <c r="G19">
        <v>2</v>
      </c>
      <c r="H19">
        <v>1</v>
      </c>
      <c r="I19">
        <v>230004</v>
      </c>
      <c r="J19">
        <v>230004</v>
      </c>
      <c r="K19">
        <v>230004</v>
      </c>
      <c r="L19">
        <v>230004</v>
      </c>
      <c r="M19">
        <v>230004</v>
      </c>
      <c r="N19">
        <v>200731</v>
      </c>
      <c r="O19">
        <v>2</v>
      </c>
      <c r="P19">
        <v>200731</v>
      </c>
      <c r="Q19">
        <v>230004</v>
      </c>
      <c r="R19">
        <v>98698274</v>
      </c>
      <c r="S19">
        <v>200731</v>
      </c>
      <c r="T19">
        <v>200731</v>
      </c>
      <c r="U19">
        <v>1</v>
      </c>
      <c r="V19">
        <v>1</v>
      </c>
      <c r="W19" t="s">
        <v>172</v>
      </c>
      <c r="X19" t="s">
        <v>172</v>
      </c>
      <c r="Y19" t="s">
        <v>172</v>
      </c>
      <c r="Z19" t="s">
        <v>193</v>
      </c>
      <c r="AA19" t="s">
        <v>172</v>
      </c>
      <c r="AB19" t="s">
        <v>172</v>
      </c>
      <c r="AC19" t="s">
        <v>172</v>
      </c>
      <c r="AD19" t="s">
        <v>214</v>
      </c>
      <c r="AE19">
        <v>0</v>
      </c>
      <c r="AF19" t="s">
        <v>512</v>
      </c>
      <c r="AG19" t="s">
        <v>513</v>
      </c>
      <c r="AH19">
        <v>0</v>
      </c>
      <c r="AI19" t="s">
        <v>514</v>
      </c>
      <c r="AJ19" t="s">
        <v>515</v>
      </c>
      <c r="AK19" t="s">
        <v>516</v>
      </c>
      <c r="AL19" t="s">
        <v>517</v>
      </c>
      <c r="AM19" t="s">
        <v>516</v>
      </c>
      <c r="AN19" t="s">
        <v>516</v>
      </c>
      <c r="AO19" t="s">
        <v>193</v>
      </c>
      <c r="AP19" t="s">
        <v>193</v>
      </c>
    </row>
    <row r="20" spans="1:42" x14ac:dyDescent="0.3">
      <c r="A20" s="1">
        <v>18</v>
      </c>
      <c r="B20" t="s">
        <v>63</v>
      </c>
      <c r="C20">
        <v>79</v>
      </c>
      <c r="D20">
        <v>79</v>
      </c>
      <c r="E20">
        <v>72</v>
      </c>
      <c r="F20">
        <v>64</v>
      </c>
      <c r="G20">
        <v>46</v>
      </c>
      <c r="H20">
        <v>29</v>
      </c>
      <c r="I20">
        <v>4224777</v>
      </c>
      <c r="J20">
        <v>4224777</v>
      </c>
      <c r="K20">
        <v>4206254</v>
      </c>
      <c r="L20">
        <v>4143001</v>
      </c>
      <c r="M20">
        <v>3838608</v>
      </c>
      <c r="N20">
        <v>3186749</v>
      </c>
      <c r="O20">
        <v>79</v>
      </c>
      <c r="P20">
        <v>254582</v>
      </c>
      <c r="Q20">
        <v>4224777</v>
      </c>
      <c r="R20">
        <v>98698274</v>
      </c>
      <c r="S20">
        <v>98159</v>
      </c>
      <c r="T20">
        <v>56648</v>
      </c>
      <c r="U20">
        <v>14</v>
      </c>
      <c r="V20">
        <v>29</v>
      </c>
      <c r="W20" t="s">
        <v>172</v>
      </c>
      <c r="X20" t="s">
        <v>172</v>
      </c>
      <c r="Y20" t="s">
        <v>172</v>
      </c>
      <c r="Z20" t="s">
        <v>172</v>
      </c>
      <c r="AA20" t="s">
        <v>172</v>
      </c>
      <c r="AB20" t="s">
        <v>172</v>
      </c>
      <c r="AC20" t="s">
        <v>172</v>
      </c>
      <c r="AD20" t="s">
        <v>518</v>
      </c>
      <c r="AE20">
        <v>4224529</v>
      </c>
      <c r="AF20" t="s">
        <v>206</v>
      </c>
      <c r="AG20" t="s">
        <v>175</v>
      </c>
      <c r="AH20">
        <v>0</v>
      </c>
      <c r="AI20" t="s">
        <v>519</v>
      </c>
      <c r="AJ20" t="s">
        <v>177</v>
      </c>
      <c r="AK20" t="s">
        <v>242</v>
      </c>
      <c r="AL20" t="s">
        <v>520</v>
      </c>
      <c r="AM20" t="s">
        <v>13</v>
      </c>
      <c r="AN20" t="s">
        <v>13</v>
      </c>
      <c r="AO20" t="s">
        <v>13</v>
      </c>
      <c r="AP20" t="s">
        <v>13</v>
      </c>
    </row>
    <row r="21" spans="1:42" x14ac:dyDescent="0.3">
      <c r="A21" s="1">
        <v>19</v>
      </c>
      <c r="B21" t="s">
        <v>93</v>
      </c>
      <c r="C21">
        <v>74</v>
      </c>
      <c r="D21">
        <v>74</v>
      </c>
      <c r="E21">
        <v>57</v>
      </c>
      <c r="F21">
        <v>39</v>
      </c>
      <c r="G21">
        <v>13</v>
      </c>
      <c r="H21">
        <v>3</v>
      </c>
      <c r="I21">
        <v>1159909</v>
      </c>
      <c r="J21">
        <v>1159909</v>
      </c>
      <c r="K21">
        <v>1105374</v>
      </c>
      <c r="L21">
        <v>978229</v>
      </c>
      <c r="M21">
        <v>543299</v>
      </c>
      <c r="N21">
        <v>184942</v>
      </c>
      <c r="O21">
        <v>74</v>
      </c>
      <c r="P21">
        <v>67510</v>
      </c>
      <c r="Q21">
        <v>1159909</v>
      </c>
      <c r="R21">
        <v>98698274</v>
      </c>
      <c r="S21">
        <v>22724</v>
      </c>
      <c r="T21">
        <v>14981</v>
      </c>
      <c r="U21">
        <v>15</v>
      </c>
      <c r="V21">
        <v>31</v>
      </c>
      <c r="W21" t="s">
        <v>172</v>
      </c>
      <c r="X21" t="s">
        <v>172</v>
      </c>
      <c r="Y21" t="s">
        <v>172</v>
      </c>
      <c r="Z21" t="s">
        <v>180</v>
      </c>
      <c r="AA21" t="s">
        <v>172</v>
      </c>
      <c r="AB21" t="s">
        <v>172</v>
      </c>
      <c r="AC21" t="s">
        <v>193</v>
      </c>
      <c r="AD21" t="s">
        <v>521</v>
      </c>
      <c r="AE21">
        <v>64149</v>
      </c>
      <c r="AF21" t="s">
        <v>522</v>
      </c>
      <c r="AG21" t="s">
        <v>292</v>
      </c>
      <c r="AH21">
        <v>0</v>
      </c>
      <c r="AI21" t="s">
        <v>523</v>
      </c>
      <c r="AJ21" t="s">
        <v>524</v>
      </c>
      <c r="AK21" t="s">
        <v>525</v>
      </c>
      <c r="AL21" t="s">
        <v>526</v>
      </c>
      <c r="AM21" t="s">
        <v>527</v>
      </c>
      <c r="AN21" t="s">
        <v>528</v>
      </c>
      <c r="AO21" t="s">
        <v>529</v>
      </c>
      <c r="AP21" t="s">
        <v>287</v>
      </c>
    </row>
    <row r="22" spans="1:42" x14ac:dyDescent="0.3">
      <c r="A22" s="1">
        <v>20</v>
      </c>
      <c r="B22" t="s">
        <v>65</v>
      </c>
      <c r="C22">
        <v>334</v>
      </c>
      <c r="D22">
        <v>334</v>
      </c>
      <c r="E22">
        <v>236</v>
      </c>
      <c r="F22">
        <v>166</v>
      </c>
      <c r="G22">
        <v>61</v>
      </c>
      <c r="H22">
        <v>13</v>
      </c>
      <c r="I22">
        <v>5209343</v>
      </c>
      <c r="J22">
        <v>5209343</v>
      </c>
      <c r="K22">
        <v>4903298</v>
      </c>
      <c r="L22">
        <v>4397605</v>
      </c>
      <c r="M22">
        <v>2628135</v>
      </c>
      <c r="N22">
        <v>892615</v>
      </c>
      <c r="O22">
        <v>334</v>
      </c>
      <c r="P22">
        <v>98047</v>
      </c>
      <c r="Q22">
        <v>5209343</v>
      </c>
      <c r="R22">
        <v>98698274</v>
      </c>
      <c r="S22">
        <v>25036</v>
      </c>
      <c r="T22">
        <v>15226</v>
      </c>
      <c r="U22">
        <v>61</v>
      </c>
      <c r="V22">
        <v>127</v>
      </c>
      <c r="W22" t="s">
        <v>172</v>
      </c>
      <c r="X22" t="s">
        <v>172</v>
      </c>
      <c r="Y22" t="s">
        <v>172</v>
      </c>
      <c r="Z22" t="s">
        <v>172</v>
      </c>
      <c r="AA22" t="s">
        <v>172</v>
      </c>
      <c r="AB22" t="s">
        <v>172</v>
      </c>
      <c r="AC22" t="s">
        <v>172</v>
      </c>
      <c r="AD22" t="s">
        <v>530</v>
      </c>
      <c r="AE22">
        <v>5209198</v>
      </c>
      <c r="AF22" t="s">
        <v>206</v>
      </c>
      <c r="AG22" t="s">
        <v>175</v>
      </c>
      <c r="AH22">
        <v>0</v>
      </c>
      <c r="AI22" t="s">
        <v>177</v>
      </c>
      <c r="AJ22" t="s">
        <v>177</v>
      </c>
      <c r="AK22" t="s">
        <v>531</v>
      </c>
      <c r="AL22" t="s">
        <v>374</v>
      </c>
      <c r="AM22" t="s">
        <v>13</v>
      </c>
      <c r="AN22" t="s">
        <v>13</v>
      </c>
      <c r="AO22" t="s">
        <v>13</v>
      </c>
      <c r="AP22" t="s">
        <v>13</v>
      </c>
    </row>
    <row r="23" spans="1:42" x14ac:dyDescent="0.3">
      <c r="A23" s="1">
        <v>21</v>
      </c>
      <c r="B23" t="s">
        <v>67</v>
      </c>
      <c r="C23">
        <v>899</v>
      </c>
      <c r="D23">
        <v>899</v>
      </c>
      <c r="E23">
        <v>474</v>
      </c>
      <c r="F23">
        <v>266</v>
      </c>
      <c r="G23">
        <v>79</v>
      </c>
      <c r="H23">
        <v>16</v>
      </c>
      <c r="I23">
        <v>8935745</v>
      </c>
      <c r="J23">
        <v>8935745</v>
      </c>
      <c r="K23">
        <v>7688135</v>
      </c>
      <c r="L23">
        <v>6202226</v>
      </c>
      <c r="M23">
        <v>3328844</v>
      </c>
      <c r="N23">
        <v>1205457</v>
      </c>
      <c r="O23">
        <v>899</v>
      </c>
      <c r="P23">
        <v>115428</v>
      </c>
      <c r="Q23">
        <v>8935745</v>
      </c>
      <c r="R23">
        <v>98698274</v>
      </c>
      <c r="S23">
        <v>17543</v>
      </c>
      <c r="T23">
        <v>8268</v>
      </c>
      <c r="U23">
        <v>136</v>
      </c>
      <c r="V23">
        <v>321</v>
      </c>
      <c r="W23" t="s">
        <v>172</v>
      </c>
      <c r="X23" t="s">
        <v>172</v>
      </c>
      <c r="Y23" t="s">
        <v>172</v>
      </c>
      <c r="Z23" t="s">
        <v>229</v>
      </c>
      <c r="AA23" t="s">
        <v>172</v>
      </c>
      <c r="AB23" t="s">
        <v>172</v>
      </c>
      <c r="AC23" t="s">
        <v>532</v>
      </c>
      <c r="AD23" t="s">
        <v>533</v>
      </c>
      <c r="AE23">
        <v>8793770</v>
      </c>
      <c r="AF23" t="s">
        <v>534</v>
      </c>
      <c r="AG23" t="s">
        <v>216</v>
      </c>
      <c r="AH23">
        <v>0</v>
      </c>
      <c r="AI23" t="s">
        <v>535</v>
      </c>
      <c r="AJ23" t="s">
        <v>536</v>
      </c>
      <c r="AK23" t="s">
        <v>537</v>
      </c>
      <c r="AL23" t="s">
        <v>538</v>
      </c>
      <c r="AM23" t="s">
        <v>13</v>
      </c>
      <c r="AN23" t="s">
        <v>13</v>
      </c>
      <c r="AO23" t="s">
        <v>13</v>
      </c>
      <c r="AP23" t="s">
        <v>13</v>
      </c>
    </row>
    <row r="24" spans="1:42" x14ac:dyDescent="0.3">
      <c r="A24" s="1">
        <v>22</v>
      </c>
      <c r="B24" t="s">
        <v>86</v>
      </c>
      <c r="C24">
        <v>35</v>
      </c>
      <c r="D24">
        <v>35</v>
      </c>
      <c r="E24">
        <v>21</v>
      </c>
      <c r="F24">
        <v>12</v>
      </c>
      <c r="G24">
        <v>3</v>
      </c>
      <c r="H24">
        <v>1</v>
      </c>
      <c r="I24">
        <v>405503</v>
      </c>
      <c r="J24">
        <v>405503</v>
      </c>
      <c r="K24">
        <v>360541</v>
      </c>
      <c r="L24">
        <v>292634</v>
      </c>
      <c r="M24">
        <v>158153</v>
      </c>
      <c r="N24">
        <v>80012</v>
      </c>
      <c r="O24">
        <v>35</v>
      </c>
      <c r="P24">
        <v>80012</v>
      </c>
      <c r="Q24">
        <v>405503</v>
      </c>
      <c r="R24">
        <v>98698274</v>
      </c>
      <c r="S24">
        <v>16877</v>
      </c>
      <c r="T24">
        <v>9775</v>
      </c>
      <c r="U24">
        <v>6</v>
      </c>
      <c r="V24">
        <v>14</v>
      </c>
      <c r="W24" t="s">
        <v>172</v>
      </c>
      <c r="X24" t="s">
        <v>172</v>
      </c>
      <c r="Y24" t="s">
        <v>172</v>
      </c>
      <c r="Z24" t="s">
        <v>172</v>
      </c>
      <c r="AA24" t="s">
        <v>172</v>
      </c>
      <c r="AB24" t="s">
        <v>172</v>
      </c>
      <c r="AC24" t="s">
        <v>172</v>
      </c>
      <c r="AD24" t="s">
        <v>539</v>
      </c>
      <c r="AE24">
        <v>186541</v>
      </c>
      <c r="AF24" t="s">
        <v>540</v>
      </c>
      <c r="AG24" t="s">
        <v>175</v>
      </c>
      <c r="AH24">
        <v>0</v>
      </c>
      <c r="AI24" t="s">
        <v>236</v>
      </c>
      <c r="AJ24" t="s">
        <v>541</v>
      </c>
      <c r="AK24" t="s">
        <v>542</v>
      </c>
      <c r="AL24" t="s">
        <v>543</v>
      </c>
      <c r="AM24" t="s">
        <v>544</v>
      </c>
      <c r="AN24" t="s">
        <v>13</v>
      </c>
      <c r="AO24" t="s">
        <v>180</v>
      </c>
      <c r="AP24" t="s">
        <v>13</v>
      </c>
    </row>
    <row r="25" spans="1:42" x14ac:dyDescent="0.3">
      <c r="A25" s="1">
        <v>23</v>
      </c>
      <c r="B25" t="s">
        <v>94</v>
      </c>
      <c r="C25">
        <v>528</v>
      </c>
      <c r="D25">
        <v>528</v>
      </c>
      <c r="E25">
        <v>342</v>
      </c>
      <c r="F25">
        <v>182</v>
      </c>
      <c r="G25">
        <v>48</v>
      </c>
      <c r="H25">
        <v>6</v>
      </c>
      <c r="I25">
        <v>5532139</v>
      </c>
      <c r="J25">
        <v>5532139</v>
      </c>
      <c r="K25">
        <v>4929696</v>
      </c>
      <c r="L25">
        <v>3789576</v>
      </c>
      <c r="M25">
        <v>1733850</v>
      </c>
      <c r="N25">
        <v>351197</v>
      </c>
      <c r="O25">
        <v>528</v>
      </c>
      <c r="P25">
        <v>66645</v>
      </c>
      <c r="Q25">
        <v>5532139</v>
      </c>
      <c r="R25">
        <v>98698274</v>
      </c>
      <c r="S25">
        <v>15981</v>
      </c>
      <c r="T25">
        <v>8256</v>
      </c>
      <c r="U25">
        <v>100</v>
      </c>
      <c r="V25">
        <v>222</v>
      </c>
      <c r="W25" t="s">
        <v>223</v>
      </c>
      <c r="X25" t="s">
        <v>223</v>
      </c>
      <c r="Y25" t="s">
        <v>545</v>
      </c>
      <c r="Z25" t="s">
        <v>276</v>
      </c>
      <c r="AA25" t="s">
        <v>172</v>
      </c>
      <c r="AB25" t="s">
        <v>172</v>
      </c>
      <c r="AC25" t="s">
        <v>172</v>
      </c>
      <c r="AD25" t="s">
        <v>546</v>
      </c>
      <c r="AE25">
        <v>58467</v>
      </c>
      <c r="AF25" t="s">
        <v>547</v>
      </c>
      <c r="AG25" t="s">
        <v>292</v>
      </c>
      <c r="AH25">
        <v>0</v>
      </c>
      <c r="AI25" t="s">
        <v>548</v>
      </c>
      <c r="AJ25" t="s">
        <v>549</v>
      </c>
      <c r="AK25" t="s">
        <v>550</v>
      </c>
      <c r="AL25" t="s">
        <v>551</v>
      </c>
      <c r="AM25" t="s">
        <v>552</v>
      </c>
      <c r="AN25" t="s">
        <v>553</v>
      </c>
      <c r="AO25" t="s">
        <v>554</v>
      </c>
      <c r="AP25" t="s">
        <v>555</v>
      </c>
    </row>
    <row r="26" spans="1:42" x14ac:dyDescent="0.3">
      <c r="A26" s="1">
        <v>24</v>
      </c>
      <c r="B26" t="s">
        <v>87</v>
      </c>
      <c r="C26">
        <v>207</v>
      </c>
      <c r="D26">
        <v>207</v>
      </c>
      <c r="E26">
        <v>3</v>
      </c>
      <c r="F26">
        <v>0</v>
      </c>
      <c r="G26">
        <v>0</v>
      </c>
      <c r="H26">
        <v>0</v>
      </c>
      <c r="I26">
        <v>430779</v>
      </c>
      <c r="J26">
        <v>430779</v>
      </c>
      <c r="K26">
        <v>16361</v>
      </c>
      <c r="L26">
        <v>0</v>
      </c>
      <c r="M26">
        <v>0</v>
      </c>
      <c r="N26">
        <v>0</v>
      </c>
      <c r="O26">
        <v>207</v>
      </c>
      <c r="P26">
        <v>5499</v>
      </c>
      <c r="Q26">
        <v>430779</v>
      </c>
      <c r="R26">
        <v>98698274</v>
      </c>
      <c r="S26">
        <v>1994</v>
      </c>
      <c r="T26">
        <v>1709</v>
      </c>
      <c r="U26">
        <v>81</v>
      </c>
      <c r="V26">
        <v>140</v>
      </c>
      <c r="W26" t="s">
        <v>172</v>
      </c>
      <c r="X26" t="s">
        <v>172</v>
      </c>
      <c r="Y26" t="s">
        <v>172</v>
      </c>
      <c r="Z26" t="s">
        <v>172</v>
      </c>
      <c r="AA26" t="s">
        <v>172</v>
      </c>
      <c r="AB26" t="s">
        <v>172</v>
      </c>
      <c r="AC26" t="s">
        <v>193</v>
      </c>
      <c r="AD26" t="s">
        <v>556</v>
      </c>
      <c r="AE26">
        <v>362844</v>
      </c>
      <c r="AF26" t="s">
        <v>557</v>
      </c>
      <c r="AG26" t="s">
        <v>196</v>
      </c>
      <c r="AH26">
        <v>0</v>
      </c>
      <c r="AI26" t="s">
        <v>558</v>
      </c>
      <c r="AJ26" t="s">
        <v>559</v>
      </c>
      <c r="AK26" t="s">
        <v>560</v>
      </c>
      <c r="AL26" t="s">
        <v>561</v>
      </c>
      <c r="AM26" t="s">
        <v>13</v>
      </c>
      <c r="AN26" t="s">
        <v>13</v>
      </c>
      <c r="AO26" t="s">
        <v>13</v>
      </c>
      <c r="AP26" t="s">
        <v>13</v>
      </c>
    </row>
    <row r="27" spans="1:42" x14ac:dyDescent="0.3">
      <c r="A27" s="1">
        <v>25</v>
      </c>
      <c r="B27" t="s">
        <v>105</v>
      </c>
      <c r="C27">
        <v>237</v>
      </c>
      <c r="D27">
        <v>237</v>
      </c>
      <c r="E27">
        <v>181</v>
      </c>
      <c r="F27">
        <v>131</v>
      </c>
      <c r="G27">
        <v>61</v>
      </c>
      <c r="H27">
        <v>22</v>
      </c>
      <c r="I27">
        <v>4725612</v>
      </c>
      <c r="J27">
        <v>4725612</v>
      </c>
      <c r="K27">
        <v>4561871</v>
      </c>
      <c r="L27">
        <v>4186519</v>
      </c>
      <c r="M27">
        <v>3037444</v>
      </c>
      <c r="N27">
        <v>1582702</v>
      </c>
      <c r="O27">
        <v>237</v>
      </c>
      <c r="P27">
        <v>135666</v>
      </c>
      <c r="Q27">
        <v>4725612</v>
      </c>
      <c r="R27">
        <v>98698274</v>
      </c>
      <c r="S27">
        <v>36906</v>
      </c>
      <c r="T27">
        <v>19509</v>
      </c>
      <c r="U27">
        <v>40</v>
      </c>
      <c r="V27">
        <v>84</v>
      </c>
      <c r="W27" t="s">
        <v>193</v>
      </c>
      <c r="X27" t="s">
        <v>193</v>
      </c>
      <c r="Y27" t="s">
        <v>562</v>
      </c>
      <c r="Z27" t="s">
        <v>212</v>
      </c>
      <c r="AA27" t="s">
        <v>172</v>
      </c>
      <c r="AB27" t="s">
        <v>172</v>
      </c>
      <c r="AC27" t="s">
        <v>172</v>
      </c>
      <c r="AD27" t="s">
        <v>356</v>
      </c>
      <c r="AE27">
        <v>4534</v>
      </c>
      <c r="AF27" t="s">
        <v>563</v>
      </c>
      <c r="AG27" t="s">
        <v>564</v>
      </c>
      <c r="AH27">
        <v>0</v>
      </c>
      <c r="AI27" t="s">
        <v>565</v>
      </c>
      <c r="AJ27" t="s">
        <v>566</v>
      </c>
      <c r="AK27" t="s">
        <v>567</v>
      </c>
      <c r="AL27" t="s">
        <v>568</v>
      </c>
      <c r="AM27" t="s">
        <v>569</v>
      </c>
      <c r="AN27" t="s">
        <v>570</v>
      </c>
      <c r="AO27" t="s">
        <v>571</v>
      </c>
      <c r="AP27" t="s">
        <v>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Combined info</vt:lpstr>
      <vt:lpstr>CheckM MAGs</vt:lpstr>
      <vt:lpstr>Phylogeny MAGs</vt:lpstr>
      <vt:lpstr>CheckM genomes</vt:lpstr>
      <vt:lpstr>Phylogeny genomes</vt:lpstr>
      <vt:lpstr>Mapping</vt:lpstr>
      <vt:lpstr>Relative abundances MGX</vt:lpstr>
      <vt:lpstr>Quast MEGAHIT</vt:lpstr>
      <vt:lpstr>Quast metaSPAdes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 Dolinsek</dc:creator>
  <cp:keywords/>
  <dc:description/>
  <cp:lastModifiedBy>Jan Dolinsek</cp:lastModifiedBy>
  <cp:revision/>
  <dcterms:created xsi:type="dcterms:W3CDTF">2015-06-05T18:19:34Z</dcterms:created>
  <dcterms:modified xsi:type="dcterms:W3CDTF">2026-07-11T19:48:18Z</dcterms:modified>
  <cp:category/>
  <cp:contentStatus/>
</cp:coreProperties>
</file>