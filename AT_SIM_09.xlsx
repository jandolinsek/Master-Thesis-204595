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36bb45215012928/Master Thesis Share/"/>
    </mc:Choice>
  </mc:AlternateContent>
  <xr:revisionPtr revIDLastSave="44" documentId="13_ncr:1_{6D0923A4-BCEE-4117-ABBA-9E4DA5DEAB6B}" xr6:coauthVersionLast="47" xr6:coauthVersionMax="47" xr10:uidLastSave="{CF9B24B4-C3EB-49FC-B150-C4366469E4EC}"/>
  <bookViews>
    <workbookView xWindow="-23148" yWindow="-108" windowWidth="23256" windowHeight="13896" xr2:uid="{00000000-000D-0000-FFFF-FFFF00000000}"/>
  </bookViews>
  <sheets>
    <sheet name="Combined info" sheetId="6" r:id="rId1"/>
    <sheet name="CheckM MAGs" sheetId="7" r:id="rId2"/>
    <sheet name="Phylogeny MAGs" sheetId="8" r:id="rId3"/>
    <sheet name="CheckM genomes" sheetId="9" r:id="rId4"/>
    <sheet name="Phylogeny genomes" sheetId="10" r:id="rId5"/>
    <sheet name="Mapping" sheetId="12" r:id="rId6"/>
    <sheet name="Relative abundances MGX" sheetId="13" r:id="rId7"/>
    <sheet name="Relative abundances MGX all" sheetId="18" r:id="rId8"/>
    <sheet name="Quast MEGAHIT" sheetId="16" r:id="rId9"/>
    <sheet name="Quast metaSPAdes" sheetId="17" r:id="rId10"/>
  </sheets>
  <definedNames>
    <definedName name="_xlnm._FilterDatabase" localSheetId="1" hidden="1">'CheckM MAGs'!$A$1:$K$1</definedName>
    <definedName name="_xlnm._FilterDatabase" localSheetId="7" hidden="1">'Relative abundances MGX all'!$A$1:$E$1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6" l="1"/>
  <c r="K9" i="6"/>
  <c r="L9" i="6"/>
  <c r="M9" i="6"/>
  <c r="J10" i="6"/>
  <c r="K10" i="6"/>
  <c r="L10" i="6"/>
  <c r="M10" i="6"/>
  <c r="J11" i="6"/>
  <c r="K11" i="6"/>
  <c r="L11" i="6"/>
  <c r="M11" i="6"/>
  <c r="J12" i="6"/>
  <c r="K12" i="6"/>
  <c r="L12" i="6"/>
  <c r="M12" i="6"/>
  <c r="J13" i="6"/>
  <c r="K13" i="6"/>
  <c r="L13" i="6"/>
  <c r="M13" i="6"/>
  <c r="J14" i="6"/>
  <c r="K14" i="6"/>
  <c r="L14" i="6"/>
  <c r="M14" i="6"/>
  <c r="J15" i="6"/>
  <c r="K15" i="6"/>
  <c r="L15" i="6"/>
  <c r="M15" i="6"/>
  <c r="M8" i="6"/>
  <c r="L8" i="6"/>
  <c r="K8" i="6"/>
  <c r="J8" i="6"/>
  <c r="M7" i="6"/>
  <c r="L7" i="6"/>
  <c r="K7" i="6"/>
  <c r="J7" i="6"/>
  <c r="M6" i="6"/>
  <c r="L6" i="6"/>
  <c r="K6" i="6"/>
  <c r="J6" i="6"/>
  <c r="M5" i="6"/>
  <c r="L5" i="6"/>
  <c r="K5" i="6"/>
  <c r="J5" i="6"/>
  <c r="M4" i="6"/>
  <c r="L4" i="6"/>
  <c r="K4" i="6"/>
  <c r="J4" i="6"/>
  <c r="M3" i="6"/>
  <c r="L3" i="6"/>
  <c r="K3" i="6"/>
  <c r="J3" i="6"/>
  <c r="M2" i="6"/>
  <c r="L2" i="6"/>
  <c r="K2" i="6"/>
  <c r="J2" i="6"/>
  <c r="I15" i="6"/>
  <c r="H15" i="6"/>
  <c r="G15" i="6"/>
  <c r="F15" i="6"/>
  <c r="I14" i="6"/>
  <c r="H14" i="6"/>
  <c r="G14" i="6"/>
  <c r="F14" i="6"/>
  <c r="I13" i="6"/>
  <c r="H13" i="6"/>
  <c r="G13" i="6"/>
  <c r="F13" i="6"/>
  <c r="I12" i="6"/>
  <c r="H12" i="6"/>
  <c r="G12" i="6"/>
  <c r="F12" i="6"/>
  <c r="I11" i="6"/>
  <c r="H11" i="6"/>
  <c r="G11" i="6"/>
  <c r="F11" i="6"/>
  <c r="I10" i="6"/>
  <c r="H10" i="6"/>
  <c r="G10" i="6"/>
  <c r="F10" i="6"/>
  <c r="I9" i="6"/>
  <c r="H9" i="6"/>
  <c r="G9" i="6"/>
  <c r="F9" i="6"/>
  <c r="I8" i="6"/>
  <c r="H8" i="6"/>
  <c r="G8" i="6"/>
  <c r="F8" i="6"/>
  <c r="I7" i="6"/>
  <c r="H7" i="6"/>
  <c r="G7" i="6"/>
  <c r="F7" i="6"/>
  <c r="I6" i="6"/>
  <c r="H6" i="6"/>
  <c r="G6" i="6"/>
  <c r="F6" i="6"/>
  <c r="I5" i="6"/>
  <c r="H5" i="6"/>
  <c r="G5" i="6"/>
  <c r="F5" i="6"/>
  <c r="I4" i="6"/>
  <c r="H4" i="6"/>
  <c r="G4" i="6"/>
  <c r="F4" i="6"/>
  <c r="I3" i="6"/>
  <c r="H3" i="6"/>
  <c r="G3" i="6"/>
  <c r="F3" i="6"/>
  <c r="I2" i="6"/>
  <c r="H2" i="6"/>
  <c r="G2" i="6"/>
  <c r="F2" i="6"/>
</calcChain>
</file>

<file path=xl/sharedStrings.xml><?xml version="1.0" encoding="utf-8"?>
<sst xmlns="http://schemas.openxmlformats.org/spreadsheetml/2006/main" count="309" uniqueCount="135">
  <si>
    <t>Genome/MAG</t>
  </si>
  <si>
    <t>Strain ID</t>
  </si>
  <si>
    <t>Lowest determined phylogenetic rank</t>
  </si>
  <si>
    <t>Closest
related genome</t>
  </si>
  <si>
    <t>Cyanide use</t>
  </si>
  <si>
    <t>Relative abundance (% T0)</t>
  </si>
  <si>
    <t>Relative abundance (% T1)</t>
  </si>
  <si>
    <t>Relative abundance (% T2)</t>
  </si>
  <si>
    <t>Relative abundance (% T3)</t>
  </si>
  <si>
    <t>GCA_976997275</t>
  </si>
  <si>
    <t>R-92789</t>
  </si>
  <si>
    <t>species</t>
  </si>
  <si>
    <t>Aquipseudomonas chlororaphis_I</t>
  </si>
  <si>
    <t>inconclusive</t>
  </si>
  <si>
    <t>GCA_976997285</t>
  </si>
  <si>
    <t>R-92788</t>
  </si>
  <si>
    <t>Variovorax boronicumulans</t>
  </si>
  <si>
    <t>GCA_976997325</t>
  </si>
  <si>
    <t>R-92786</t>
  </si>
  <si>
    <t>Aquipseudomonas sp900187605</t>
  </si>
  <si>
    <t>++</t>
  </si>
  <si>
    <t>GCA_976997375</t>
  </si>
  <si>
    <t>R-92801</t>
  </si>
  <si>
    <t>genus</t>
  </si>
  <si>
    <t>Aquipseudomonas</t>
  </si>
  <si>
    <t>GCA_976997545</t>
  </si>
  <si>
    <t>R-92787</t>
  </si>
  <si>
    <t>Stenotrophomonas maltophilia_AQ</t>
  </si>
  <si>
    <t>-</t>
  </si>
  <si>
    <t>GCA_976997715</t>
  </si>
  <si>
    <t>R-92790</t>
  </si>
  <si>
    <t>Aquipseudomonas gorinensis</t>
  </si>
  <si>
    <t>+</t>
  </si>
  <si>
    <t>bin.1</t>
  </si>
  <si>
    <t>Unclassified Bacteria</t>
  </si>
  <si>
    <t>bin.2</t>
  </si>
  <si>
    <t>Shinella</t>
  </si>
  <si>
    <t>bin.3</t>
  </si>
  <si>
    <t>Cupriavidus basilensis_B</t>
  </si>
  <si>
    <t>bin.4</t>
  </si>
  <si>
    <t>bin.5</t>
  </si>
  <si>
    <t>Aquipseudomonas migulae_A</t>
  </si>
  <si>
    <t>bin.6</t>
  </si>
  <si>
    <t>bin.7</t>
  </si>
  <si>
    <t>Aquipseudomonas sp900187565</t>
  </si>
  <si>
    <t>bin.8</t>
  </si>
  <si>
    <t>Achromobacter</t>
  </si>
  <si>
    <t>Bin</t>
  </si>
  <si>
    <t>Taxonomy</t>
  </si>
  <si>
    <t>Markers</t>
  </si>
  <si>
    <t>Completeness</t>
  </si>
  <si>
    <t>Contamination</t>
  </si>
  <si>
    <t>GC (%)</t>
  </si>
  <si>
    <t>Genome size (kb)</t>
  </si>
  <si>
    <t>Contigs</t>
  </si>
  <si>
    <t>N50 (kb)</t>
  </si>
  <si>
    <t>Mean contig length (kb)</t>
  </si>
  <si>
    <t>Predicted genes</t>
  </si>
  <si>
    <t>f__Burkholderiaceae</t>
  </si>
  <si>
    <t>o__Rhizobiales</t>
  </si>
  <si>
    <t>o__Burkholderiales</t>
  </si>
  <si>
    <t>o__Pseudomonadales</t>
  </si>
  <si>
    <t>root</t>
  </si>
  <si>
    <t>k__Bacteria</t>
  </si>
  <si>
    <t>MAG</t>
  </si>
  <si>
    <t>Rank</t>
  </si>
  <si>
    <t>Name</t>
  </si>
  <si>
    <t>f__Xanthomonadaceae</t>
  </si>
  <si>
    <t>Genome</t>
  </si>
  <si>
    <t>Status</t>
  </si>
  <si>
    <t>mean (%)</t>
  </si>
  <si>
    <t>std (%)</t>
  </si>
  <si>
    <t>Assigned</t>
  </si>
  <si>
    <t>Unassigned_Unmapped</t>
  </si>
  <si>
    <t>Unassigned_Singleton</t>
  </si>
  <si>
    <t>Unassigned_NoFeatures</t>
  </si>
  <si>
    <t>Unassigned_Ambiguity</t>
  </si>
  <si>
    <t>T0_9_1_relative</t>
  </si>
  <si>
    <t>CN_T1_9_1_relative</t>
  </si>
  <si>
    <t>CN_T2_9_1_relative</t>
  </si>
  <si>
    <t>CN_T3_9_1_relative</t>
  </si>
  <si>
    <t>Assembly</t>
  </si>
  <si>
    <t># contigs (&gt;= 0 bp)</t>
  </si>
  <si>
    <t># contigs (&gt;= 1000 bp)</t>
  </si>
  <si>
    <t># contigs (&gt;= 5000 bp)</t>
  </si>
  <si>
    <t># contigs (&gt;= 10000 bp)</t>
  </si>
  <si>
    <t># contigs (&gt;= 25000 bp)</t>
  </si>
  <si>
    <t># contigs (&gt;= 50000 bp)</t>
  </si>
  <si>
    <t>Total length (&gt;= 0 bp)</t>
  </si>
  <si>
    <t>Total length (&gt;= 1000 bp)</t>
  </si>
  <si>
    <t>Total length (&gt;= 5000 bp)</t>
  </si>
  <si>
    <t>Total length (&gt;= 10000 bp)</t>
  </si>
  <si>
    <t>Total length (&gt;= 25000 bp)</t>
  </si>
  <si>
    <t>Total length (&gt;= 50000 bp)</t>
  </si>
  <si>
    <t># contigs</t>
  </si>
  <si>
    <t>Largest contig</t>
  </si>
  <si>
    <t>Total length</t>
  </si>
  <si>
    <t>Reference length</t>
  </si>
  <si>
    <t>N50</t>
  </si>
  <si>
    <t>N75</t>
  </si>
  <si>
    <t>L50</t>
  </si>
  <si>
    <t>L75</t>
  </si>
  <si>
    <t># misassemblies</t>
  </si>
  <si>
    <t># misassembled contigs</t>
  </si>
  <si>
    <t>Misassembled contigs length</t>
  </si>
  <si>
    <t># local misassemblies</t>
  </si>
  <si>
    <t># scaffold gap ext. mis.</t>
  </si>
  <si>
    <t># scaffold gap loc. mis.</t>
  </si>
  <si>
    <t># unaligned mis. contigs</t>
  </si>
  <si>
    <t># unaligned contigs</t>
  </si>
  <si>
    <t>Unaligned length</t>
  </si>
  <si>
    <t>Genome fraction (%)</t>
  </si>
  <si>
    <t>Duplication ratio</t>
  </si>
  <si>
    <t># N's per 100 kbp</t>
  </si>
  <si>
    <t># mismatches per 100 kbp</t>
  </si>
  <si>
    <t># indels per 100 kbp</t>
  </si>
  <si>
    <t>Largest alignment</t>
  </si>
  <si>
    <t>Total aligned length</t>
  </si>
  <si>
    <t>136 + 19 part</t>
  </si>
  <si>
    <t>149 + 23 part</t>
  </si>
  <si>
    <t>44 + 41 part</t>
  </si>
  <si>
    <t>121 + 7 part</t>
  </si>
  <si>
    <t>24 + 178 part</t>
  </si>
  <si>
    <t>6 + 89 part</t>
  </si>
  <si>
    <t>0 + 5 part</t>
  </si>
  <si>
    <t>10 + 119 part</t>
  </si>
  <si>
    <t>286 + 21 part</t>
  </si>
  <si>
    <t>118 + 4 part</t>
  </si>
  <si>
    <t>21 + 34 part</t>
  </si>
  <si>
    <t>190 + 1 part</t>
  </si>
  <si>
    <t>9 + 25 part</t>
  </si>
  <si>
    <t>12 + 80 part</t>
  </si>
  <si>
    <t>167 + 198 part</t>
  </si>
  <si>
    <t>108 + 22 part</t>
  </si>
  <si>
    <t>Completeness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</si>
</sst>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2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5" fillId="0" borderId="0" xfId="0" quotePrefix="1" applyFont="1"/>
    <xf numFmtId="0" fontId="2" fillId="0" borderId="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2F49F-8400-4B38-9F22-985B1E539CBB}">
  <dimension ref="A1:M16"/>
  <sheetViews>
    <sheetView tabSelected="1" workbookViewId="0">
      <selection activeCell="D24" sqref="D24"/>
    </sheetView>
  </sheetViews>
  <sheetFormatPr defaultRowHeight="15" customHeight="1" x14ac:dyDescent="0.3"/>
  <cols>
    <col min="1" max="2" width="20.6640625" customWidth="1"/>
    <col min="3" max="3" width="12.33203125" customWidth="1"/>
    <col min="4" max="4" width="37.109375" customWidth="1"/>
    <col min="5" max="5" width="12" customWidth="1"/>
    <col min="6" max="9" width="15.33203125" customWidth="1"/>
  </cols>
  <sheetData>
    <row r="1" spans="1:13" ht="57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3" t="s">
        <v>134</v>
      </c>
      <c r="K1" s="3" t="s">
        <v>53</v>
      </c>
      <c r="L1" s="3" t="s">
        <v>55</v>
      </c>
      <c r="M1" s="3" t="s">
        <v>57</v>
      </c>
    </row>
    <row r="2" spans="1:13" ht="14.4" x14ac:dyDescent="0.3">
      <c r="A2" t="s">
        <v>9</v>
      </c>
      <c r="B2" s="10" t="s">
        <v>10</v>
      </c>
      <c r="C2" t="s">
        <v>11</v>
      </c>
      <c r="D2" t="s">
        <v>12</v>
      </c>
      <c r="E2" s="11" t="s">
        <v>13</v>
      </c>
      <c r="F2" s="5">
        <f>_xlfn.XLOOKUP($A2,'Relative abundances MGX all'!$A$2:$A$100,'Relative abundances MGX all'!B$2:B$100)</f>
        <v>0.119526623250412</v>
      </c>
      <c r="G2" s="5">
        <f>_xlfn.XLOOKUP($A2,'Relative abundances MGX all'!$A$2:$A$100,'Relative abundances MGX all'!C$2:C$100)</f>
        <v>0.25576955705026899</v>
      </c>
      <c r="H2" s="5">
        <f>_xlfn.XLOOKUP($A2,'Relative abundances MGX all'!$A$2:$A$100,'Relative abundances MGX all'!D$2:D$100)</f>
        <v>0.25363803864880802</v>
      </c>
      <c r="I2" s="5">
        <f>_xlfn.XLOOKUP($A2,'Relative abundances MGX all'!$A$2:$A$100,'Relative abundances MGX all'!E$2:E$100)</f>
        <v>0.15115317339607601</v>
      </c>
      <c r="J2">
        <f>_xlfn.XLOOKUP($A2,'CheckM genomes'!$A$2:$A$15,'CheckM genomes'!D$2:D$15)</f>
        <v>100</v>
      </c>
      <c r="K2">
        <f>_xlfn.XLOOKUP($A2,'CheckM genomes'!$A$2:$A$15,'CheckM genomes'!G$2:G$15)</f>
        <v>6999</v>
      </c>
      <c r="L2">
        <f>_xlfn.XLOOKUP($A2,'CheckM genomes'!$A$2:$A$15,'CheckM genomes'!I$2:I$15)</f>
        <v>6999</v>
      </c>
      <c r="M2">
        <f>_xlfn.XLOOKUP($A2,'CheckM genomes'!$A$2:$A$15,'CheckM genomes'!K$2:K$15)</f>
        <v>6211</v>
      </c>
    </row>
    <row r="3" spans="1:13" ht="14.4" x14ac:dyDescent="0.3">
      <c r="A3" t="s">
        <v>14</v>
      </c>
      <c r="B3" s="10" t="s">
        <v>15</v>
      </c>
      <c r="C3" t="s">
        <v>11</v>
      </c>
      <c r="D3" t="s">
        <v>16</v>
      </c>
      <c r="E3" s="11" t="s">
        <v>13</v>
      </c>
      <c r="F3" s="5">
        <f>_xlfn.XLOOKUP($A3,'Relative abundances MGX all'!$A$2:$A$100,'Relative abundances MGX all'!B$2:B$100)</f>
        <v>5.5118460541621599E-3</v>
      </c>
      <c r="G3" s="5">
        <f>_xlfn.XLOOKUP($A3,'Relative abundances MGX all'!$A$2:$A$100,'Relative abundances MGX all'!C$2:C$100)</f>
        <v>6.38321508330291E-3</v>
      </c>
      <c r="H3" s="5">
        <f>_xlfn.XLOOKUP($A3,'Relative abundances MGX all'!$A$2:$A$100,'Relative abundances MGX all'!D$2:D$100)</f>
        <v>3.2076340023144902E-3</v>
      </c>
      <c r="I3" s="5">
        <f>_xlfn.XLOOKUP($A3,'Relative abundances MGX all'!$A$2:$A$100,'Relative abundances MGX all'!E$2:E$100)</f>
        <v>3.1476167545869201E-3</v>
      </c>
      <c r="J3">
        <f>_xlfn.XLOOKUP($A3,'CheckM genomes'!$A$2:$A$15,'CheckM genomes'!D$2:D$15)</f>
        <v>100</v>
      </c>
      <c r="K3">
        <f>_xlfn.XLOOKUP($A3,'CheckM genomes'!$A$2:$A$15,'CheckM genomes'!G$2:G$15)</f>
        <v>6715</v>
      </c>
      <c r="L3">
        <f>_xlfn.XLOOKUP($A3,'CheckM genomes'!$A$2:$A$15,'CheckM genomes'!I$2:I$15)</f>
        <v>6715</v>
      </c>
      <c r="M3">
        <f>_xlfn.XLOOKUP($A3,'CheckM genomes'!$A$2:$A$15,'CheckM genomes'!K$2:K$15)</f>
        <v>6117</v>
      </c>
    </row>
    <row r="4" spans="1:13" ht="14.4" x14ac:dyDescent="0.3">
      <c r="A4" t="s">
        <v>17</v>
      </c>
      <c r="B4" s="10" t="s">
        <v>18</v>
      </c>
      <c r="C4" t="s">
        <v>11</v>
      </c>
      <c r="D4" t="s">
        <v>19</v>
      </c>
      <c r="E4" s="12" t="s">
        <v>20</v>
      </c>
      <c r="F4" s="5">
        <f>_xlfn.XLOOKUP($A4,'Relative abundances MGX all'!$A$2:$A$100,'Relative abundances MGX all'!B$2:B$100)</f>
        <v>0.13599091777500699</v>
      </c>
      <c r="G4" s="5">
        <f>_xlfn.XLOOKUP($A4,'Relative abundances MGX all'!$A$2:$A$100,'Relative abundances MGX all'!C$2:C$100)</f>
        <v>0.329300291200194</v>
      </c>
      <c r="H4" s="5">
        <f>_xlfn.XLOOKUP($A4,'Relative abundances MGX all'!$A$2:$A$100,'Relative abundances MGX all'!D$2:D$100)</f>
        <v>0.31617462866003099</v>
      </c>
      <c r="I4" s="5">
        <f>_xlfn.XLOOKUP($A4,'Relative abundances MGX all'!$A$2:$A$100,'Relative abundances MGX all'!E$2:E$100)</f>
        <v>0.177906891438362</v>
      </c>
      <c r="J4">
        <f>_xlfn.XLOOKUP($A4,'CheckM genomes'!$A$2:$A$15,'CheckM genomes'!D$2:D$15)</f>
        <v>100</v>
      </c>
      <c r="K4">
        <f>_xlfn.XLOOKUP($A4,'CheckM genomes'!$A$2:$A$15,'CheckM genomes'!G$2:G$15)</f>
        <v>6648</v>
      </c>
      <c r="L4">
        <f>_xlfn.XLOOKUP($A4,'CheckM genomes'!$A$2:$A$15,'CheckM genomes'!I$2:I$15)</f>
        <v>6648</v>
      </c>
      <c r="M4">
        <f>_xlfn.XLOOKUP($A4,'CheckM genomes'!$A$2:$A$15,'CheckM genomes'!K$2:K$15)</f>
        <v>5852</v>
      </c>
    </row>
    <row r="5" spans="1:13" ht="14.4" x14ac:dyDescent="0.3">
      <c r="A5" t="s">
        <v>21</v>
      </c>
      <c r="B5" s="10" t="s">
        <v>22</v>
      </c>
      <c r="C5" t="s">
        <v>23</v>
      </c>
      <c r="D5" t="s">
        <v>24</v>
      </c>
      <c r="E5" s="12" t="s">
        <v>20</v>
      </c>
      <c r="F5" s="5">
        <f>_xlfn.XLOOKUP($A5,'Relative abundances MGX all'!$A$2:$A$100,'Relative abundances MGX all'!B$2:B$100)</f>
        <v>0.42041228815967802</v>
      </c>
      <c r="G5" s="5">
        <f>_xlfn.XLOOKUP($A5,'Relative abundances MGX all'!$A$2:$A$100,'Relative abundances MGX all'!C$2:C$100)</f>
        <v>0.90224191174454504</v>
      </c>
      <c r="H5" s="5">
        <f>_xlfn.XLOOKUP($A5,'Relative abundances MGX all'!$A$2:$A$100,'Relative abundances MGX all'!D$2:D$100)</f>
        <v>0.87752217171019797</v>
      </c>
      <c r="I5" s="5">
        <f>_xlfn.XLOOKUP($A5,'Relative abundances MGX all'!$A$2:$A$100,'Relative abundances MGX all'!E$2:E$100)</f>
        <v>0.53657536063511901</v>
      </c>
      <c r="J5">
        <f>_xlfn.XLOOKUP($A5,'CheckM genomes'!$A$2:$A$15,'CheckM genomes'!D$2:D$15)</f>
        <v>100</v>
      </c>
      <c r="K5">
        <f>_xlfn.XLOOKUP($A5,'CheckM genomes'!$A$2:$A$15,'CheckM genomes'!G$2:G$15)</f>
        <v>6927</v>
      </c>
      <c r="L5">
        <f>_xlfn.XLOOKUP($A5,'CheckM genomes'!$A$2:$A$15,'CheckM genomes'!I$2:I$15)</f>
        <v>6927</v>
      </c>
      <c r="M5">
        <f>_xlfn.XLOOKUP($A5,'CheckM genomes'!$A$2:$A$15,'CheckM genomes'!K$2:K$15)</f>
        <v>6229</v>
      </c>
    </row>
    <row r="6" spans="1:13" ht="14.4" x14ac:dyDescent="0.3">
      <c r="A6" t="s">
        <v>25</v>
      </c>
      <c r="B6" s="10" t="s">
        <v>26</v>
      </c>
      <c r="C6" t="s">
        <v>11</v>
      </c>
      <c r="D6" t="s">
        <v>27</v>
      </c>
      <c r="E6" s="12" t="s">
        <v>28</v>
      </c>
      <c r="F6" s="5">
        <f>_xlfn.XLOOKUP($A6,'Relative abundances MGX all'!$A$2:$A$100,'Relative abundances MGX all'!B$2:B$100)</f>
        <v>1.6972857864632901E-3</v>
      </c>
      <c r="G6" s="5">
        <f>_xlfn.XLOOKUP($A6,'Relative abundances MGX all'!$A$2:$A$100,'Relative abundances MGX all'!C$2:C$100)</f>
        <v>3.0406645666659301E-3</v>
      </c>
      <c r="H6" s="5">
        <f>_xlfn.XLOOKUP($A6,'Relative abundances MGX all'!$A$2:$A$100,'Relative abundances MGX all'!D$2:D$100)</f>
        <v>2.13655203667267E-3</v>
      </c>
      <c r="I6" s="5">
        <f>_xlfn.XLOOKUP($A6,'Relative abundances MGX all'!$A$2:$A$100,'Relative abundances MGX all'!E$2:E$100)</f>
        <v>9.6956774855099098E-3</v>
      </c>
      <c r="J6">
        <f>_xlfn.XLOOKUP($A6,'CheckM genomes'!$A$2:$A$15,'CheckM genomes'!D$2:D$15)</f>
        <v>100</v>
      </c>
      <c r="K6">
        <f>_xlfn.XLOOKUP($A6,'CheckM genomes'!$A$2:$A$15,'CheckM genomes'!G$2:G$15)</f>
        <v>4481</v>
      </c>
      <c r="L6">
        <f>_xlfn.XLOOKUP($A6,'CheckM genomes'!$A$2:$A$15,'CheckM genomes'!I$2:I$15)</f>
        <v>4481</v>
      </c>
      <c r="M6">
        <f>_xlfn.XLOOKUP($A6,'CheckM genomes'!$A$2:$A$15,'CheckM genomes'!K$2:K$15)</f>
        <v>3968</v>
      </c>
    </row>
    <row r="7" spans="1:13" ht="14.4" x14ac:dyDescent="0.3">
      <c r="A7" t="s">
        <v>29</v>
      </c>
      <c r="B7" s="10" t="s">
        <v>30</v>
      </c>
      <c r="C7" t="s">
        <v>11</v>
      </c>
      <c r="D7" t="s">
        <v>31</v>
      </c>
      <c r="E7" s="12" t="s">
        <v>32</v>
      </c>
      <c r="F7" s="5">
        <f>_xlfn.XLOOKUP($A7,'Relative abundances MGX all'!$A$2:$A$100,'Relative abundances MGX all'!B$2:B$100)</f>
        <v>2.9358573994601001E-2</v>
      </c>
      <c r="G7" s="5">
        <f>_xlfn.XLOOKUP($A7,'Relative abundances MGX all'!$A$2:$A$100,'Relative abundances MGX all'!C$2:C$100)</f>
        <v>5.7514088142087798E-2</v>
      </c>
      <c r="H7" s="5">
        <f>_xlfn.XLOOKUP($A7,'Relative abundances MGX all'!$A$2:$A$100,'Relative abundances MGX all'!D$2:D$100)</f>
        <v>5.5793306879688503E-2</v>
      </c>
      <c r="I7" s="5">
        <f>_xlfn.XLOOKUP($A7,'Relative abundances MGX all'!$A$2:$A$100,'Relative abundances MGX all'!E$2:E$100)</f>
        <v>3.3874340497613002E-2</v>
      </c>
      <c r="J7">
        <f>_xlfn.XLOOKUP($A7,'CheckM genomes'!$A$2:$A$15,'CheckM genomes'!D$2:D$15)</f>
        <v>100</v>
      </c>
      <c r="K7">
        <f>_xlfn.XLOOKUP($A7,'CheckM genomes'!$A$2:$A$15,'CheckM genomes'!G$2:G$15)</f>
        <v>8064</v>
      </c>
      <c r="L7">
        <f>_xlfn.XLOOKUP($A7,'CheckM genomes'!$A$2:$A$15,'CheckM genomes'!I$2:I$15)</f>
        <v>7649</v>
      </c>
      <c r="M7">
        <f>_xlfn.XLOOKUP($A7,'CheckM genomes'!$A$2:$A$15,'CheckM genomes'!K$2:K$15)</f>
        <v>7399</v>
      </c>
    </row>
    <row r="8" spans="1:13" ht="14.4" x14ac:dyDescent="0.3">
      <c r="A8" t="s">
        <v>33</v>
      </c>
      <c r="C8" t="s">
        <v>34</v>
      </c>
      <c r="F8" s="5">
        <f>_xlfn.XLOOKUP($A8,'Relative abundances MGX all'!$A$2:$A$100,'Relative abundances MGX all'!B$2:B$100)</f>
        <v>2.8111146519955599E-2</v>
      </c>
      <c r="G8" s="5">
        <f>_xlfn.XLOOKUP($A8,'Relative abundances MGX all'!$A$2:$A$100,'Relative abundances MGX all'!C$2:C$100)</f>
        <v>8.1582130248225707E-2</v>
      </c>
      <c r="H8" s="5">
        <f>_xlfn.XLOOKUP($A8,'Relative abundances MGX all'!$A$2:$A$100,'Relative abundances MGX all'!D$2:D$100)</f>
        <v>8.8117086655211396E-2</v>
      </c>
      <c r="I8" s="5">
        <f>_xlfn.XLOOKUP($A8,'Relative abundances MGX all'!$A$2:$A$100,'Relative abundances MGX all'!E$2:E$100)</f>
        <v>8.0359545202600996E-2</v>
      </c>
      <c r="J8">
        <f>_xlfn.XLOOKUP($A8,'CheckM MAGs'!$A$2:$A$15,'CheckM MAGs'!D$2:D$15)</f>
        <v>1.8</v>
      </c>
      <c r="K8">
        <f>_xlfn.XLOOKUP($A8,'CheckM MAGs'!$A$2:$A$15,'CheckM MAGs'!G$2:G$15)</f>
        <v>1082</v>
      </c>
      <c r="L8">
        <f>_xlfn.XLOOKUP($A8,'CheckM MAGs'!$A$2:$A$15,'CheckM MAGs'!I$2:I$15)</f>
        <v>4</v>
      </c>
      <c r="M8">
        <f>_xlfn.XLOOKUP($A8,'CheckM MAGs'!$A$2:$A$15,'CheckM MAGs'!K$2:K$15)</f>
        <v>1359</v>
      </c>
    </row>
    <row r="9" spans="1:13" ht="14.4" x14ac:dyDescent="0.3">
      <c r="A9" t="s">
        <v>35</v>
      </c>
      <c r="C9" t="s">
        <v>23</v>
      </c>
      <c r="D9" t="s">
        <v>36</v>
      </c>
      <c r="F9" s="5">
        <f>_xlfn.XLOOKUP($A9,'Relative abundances MGX all'!$A$2:$A$100,'Relative abundances MGX all'!B$2:B$100)</f>
        <v>0.157584718865518</v>
      </c>
      <c r="G9" s="5">
        <f>_xlfn.XLOOKUP($A9,'Relative abundances MGX all'!$A$2:$A$100,'Relative abundances MGX all'!C$2:C$100)</f>
        <v>0.41206375442323401</v>
      </c>
      <c r="H9" s="5">
        <f>_xlfn.XLOOKUP($A9,'Relative abundances MGX all'!$A$2:$A$100,'Relative abundances MGX all'!D$2:D$100)</f>
        <v>0.105646205024503</v>
      </c>
      <c r="I9" s="5">
        <f>_xlfn.XLOOKUP($A9,'Relative abundances MGX all'!$A$2:$A$100,'Relative abundances MGX all'!E$2:E$100)</f>
        <v>0.107941955770001</v>
      </c>
      <c r="J9">
        <f>_xlfn.XLOOKUP($A9,'CheckM MAGs'!$A$2:$A$15,'CheckM MAGs'!D$2:D$15)</f>
        <v>99.7</v>
      </c>
      <c r="K9">
        <f>_xlfn.XLOOKUP($A9,'CheckM MAGs'!$A$2:$A$15,'CheckM MAGs'!G$2:G$15)</f>
        <v>6542</v>
      </c>
      <c r="L9">
        <f>_xlfn.XLOOKUP($A9,'CheckM MAGs'!$A$2:$A$15,'CheckM MAGs'!I$2:I$15)</f>
        <v>162</v>
      </c>
      <c r="M9">
        <f>_xlfn.XLOOKUP($A9,'CheckM MAGs'!$A$2:$A$15,'CheckM MAGs'!K$2:K$15)</f>
        <v>6334</v>
      </c>
    </row>
    <row r="10" spans="1:13" ht="14.4" x14ac:dyDescent="0.3">
      <c r="A10" t="s">
        <v>37</v>
      </c>
      <c r="C10" t="s">
        <v>11</v>
      </c>
      <c r="D10" t="s">
        <v>38</v>
      </c>
      <c r="F10" s="5">
        <f>_xlfn.XLOOKUP($A10,'Relative abundances MGX all'!$A$2:$A$100,'Relative abundances MGX all'!B$2:B$100)</f>
        <v>2.0614860170796301</v>
      </c>
      <c r="G10" s="5">
        <f>_xlfn.XLOOKUP($A10,'Relative abundances MGX all'!$A$2:$A$100,'Relative abundances MGX all'!C$2:C$100)</f>
        <v>4.0820577032470098</v>
      </c>
      <c r="H10" s="5">
        <f>_xlfn.XLOOKUP($A10,'Relative abundances MGX all'!$A$2:$A$100,'Relative abundances MGX all'!D$2:D$100)</f>
        <v>1.71857583462913</v>
      </c>
      <c r="I10" s="5">
        <f>_xlfn.XLOOKUP($A10,'Relative abundances MGX all'!$A$2:$A$100,'Relative abundances MGX all'!E$2:E$100)</f>
        <v>0.249427744108489</v>
      </c>
      <c r="J10">
        <f>_xlfn.XLOOKUP($A10,'CheckM MAGs'!$A$2:$A$15,'CheckM MAGs'!D$2:D$15)</f>
        <v>99.9</v>
      </c>
      <c r="K10">
        <f>_xlfn.XLOOKUP($A10,'CheckM MAGs'!$A$2:$A$15,'CheckM MAGs'!G$2:G$15)</f>
        <v>7304</v>
      </c>
      <c r="L10">
        <f>_xlfn.XLOOKUP($A10,'CheckM MAGs'!$A$2:$A$15,'CheckM MAGs'!I$2:I$15)</f>
        <v>206</v>
      </c>
      <c r="M10">
        <f>_xlfn.XLOOKUP($A10,'CheckM MAGs'!$A$2:$A$15,'CheckM MAGs'!K$2:K$15)</f>
        <v>6399</v>
      </c>
    </row>
    <row r="11" spans="1:13" ht="14.4" x14ac:dyDescent="0.3">
      <c r="A11" t="s">
        <v>39</v>
      </c>
      <c r="C11" t="s">
        <v>34</v>
      </c>
      <c r="F11" s="5">
        <f>_xlfn.XLOOKUP($A11,'Relative abundances MGX all'!$A$2:$A$100,'Relative abundances MGX all'!B$2:B$100)</f>
        <v>4.5257041072160199E-2</v>
      </c>
      <c r="G11" s="5">
        <f>_xlfn.XLOOKUP($A11,'Relative abundances MGX all'!$A$2:$A$100,'Relative abundances MGX all'!C$2:C$100)</f>
        <v>8.1118350189272007E-2</v>
      </c>
      <c r="H11" s="5">
        <f>_xlfn.XLOOKUP($A11,'Relative abundances MGX all'!$A$2:$A$100,'Relative abundances MGX all'!D$2:D$100)</f>
        <v>1.9120028613965001E-2</v>
      </c>
      <c r="I11" s="5">
        <f>_xlfn.XLOOKUP($A11,'Relative abundances MGX all'!$A$2:$A$100,'Relative abundances MGX all'!E$2:E$100)</f>
        <v>9.9102758110042793E-2</v>
      </c>
      <c r="J11">
        <f>_xlfn.XLOOKUP($A11,'CheckM MAGs'!$A$2:$A$15,'CheckM MAGs'!D$2:D$15)</f>
        <v>4.0999999999999996</v>
      </c>
      <c r="K11">
        <f>_xlfn.XLOOKUP($A11,'CheckM MAGs'!$A$2:$A$15,'CheckM MAGs'!G$2:G$15)</f>
        <v>422</v>
      </c>
      <c r="L11">
        <f>_xlfn.XLOOKUP($A11,'CheckM MAGs'!$A$2:$A$15,'CheckM MAGs'!I$2:I$15)</f>
        <v>2</v>
      </c>
      <c r="M11">
        <f>_xlfn.XLOOKUP($A11,'CheckM MAGs'!$A$2:$A$15,'CheckM MAGs'!K$2:K$15)</f>
        <v>539</v>
      </c>
    </row>
    <row r="12" spans="1:13" ht="15" customHeight="1" x14ac:dyDescent="0.3">
      <c r="A12" t="s">
        <v>40</v>
      </c>
      <c r="C12" t="s">
        <v>11</v>
      </c>
      <c r="D12" t="s">
        <v>41</v>
      </c>
      <c r="F12" s="5">
        <f>_xlfn.XLOOKUP($A12,'Relative abundances MGX all'!$A$2:$A$100,'Relative abundances MGX all'!B$2:B$100)</f>
        <v>41.895214319651203</v>
      </c>
      <c r="G12" s="5">
        <f>_xlfn.XLOOKUP($A12,'Relative abundances MGX all'!$A$2:$A$100,'Relative abundances MGX all'!C$2:C$100)</f>
        <v>34.715109350027397</v>
      </c>
      <c r="H12" s="5">
        <f>_xlfn.XLOOKUP($A12,'Relative abundances MGX all'!$A$2:$A$100,'Relative abundances MGX all'!D$2:D$100)</f>
        <v>35.651850507604202</v>
      </c>
      <c r="I12" s="5">
        <f>_xlfn.XLOOKUP($A12,'Relative abundances MGX all'!$A$2:$A$100,'Relative abundances MGX all'!E$2:E$100)</f>
        <v>44.128403119451399</v>
      </c>
      <c r="J12">
        <f>_xlfn.XLOOKUP($A12,'CheckM MAGs'!$A$2:$A$15,'CheckM MAGs'!D$2:D$15)</f>
        <v>4.2</v>
      </c>
      <c r="K12">
        <f>_xlfn.XLOOKUP($A12,'CheckM MAGs'!$A$2:$A$15,'CheckM MAGs'!G$2:G$15)</f>
        <v>2106</v>
      </c>
      <c r="L12">
        <f>_xlfn.XLOOKUP($A12,'CheckM MAGs'!$A$2:$A$15,'CheckM MAGs'!I$2:I$15)</f>
        <v>105</v>
      </c>
      <c r="M12">
        <f>_xlfn.XLOOKUP($A12,'CheckM MAGs'!$A$2:$A$15,'CheckM MAGs'!K$2:K$15)</f>
        <v>1911</v>
      </c>
    </row>
    <row r="13" spans="1:13" ht="15" customHeight="1" x14ac:dyDescent="0.3">
      <c r="A13" t="s">
        <v>42</v>
      </c>
      <c r="C13" t="s">
        <v>11</v>
      </c>
      <c r="D13" t="s">
        <v>41</v>
      </c>
      <c r="F13" s="5">
        <f>_xlfn.XLOOKUP($A13,'Relative abundances MGX all'!$A$2:$A$100,'Relative abundances MGX all'!B$2:B$100)</f>
        <v>48.172455972561799</v>
      </c>
      <c r="G13" s="5">
        <f>_xlfn.XLOOKUP($A13,'Relative abundances MGX all'!$A$2:$A$100,'Relative abundances MGX all'!C$2:C$100)</f>
        <v>41.101704461801297</v>
      </c>
      <c r="H13" s="5">
        <f>_xlfn.XLOOKUP($A13,'Relative abundances MGX all'!$A$2:$A$100,'Relative abundances MGX all'!D$2:D$100)</f>
        <v>44.2756171266061</v>
      </c>
      <c r="I13" s="5">
        <f>_xlfn.XLOOKUP($A13,'Relative abundances MGX all'!$A$2:$A$100,'Relative abundances MGX all'!E$2:E$100)</f>
        <v>44.396031807504201</v>
      </c>
      <c r="J13">
        <f>_xlfn.XLOOKUP($A13,'CheckM MAGs'!$A$2:$A$15,'CheckM MAGs'!D$2:D$15)</f>
        <v>88.5</v>
      </c>
      <c r="K13">
        <f>_xlfn.XLOOKUP($A13,'CheckM MAGs'!$A$2:$A$15,'CheckM MAGs'!G$2:G$15)</f>
        <v>4407</v>
      </c>
      <c r="L13">
        <f>_xlfn.XLOOKUP($A13,'CheckM MAGs'!$A$2:$A$15,'CheckM MAGs'!I$2:I$15)</f>
        <v>116</v>
      </c>
      <c r="M13">
        <f>_xlfn.XLOOKUP($A13,'CheckM MAGs'!$A$2:$A$15,'CheckM MAGs'!K$2:K$15)</f>
        <v>4034</v>
      </c>
    </row>
    <row r="14" spans="1:13" ht="15" customHeight="1" x14ac:dyDescent="0.3">
      <c r="A14" t="s">
        <v>43</v>
      </c>
      <c r="C14" t="s">
        <v>11</v>
      </c>
      <c r="D14" t="s">
        <v>44</v>
      </c>
      <c r="F14" s="5">
        <f>_xlfn.XLOOKUP($A14,'Relative abundances MGX all'!$A$2:$A$100,'Relative abundances MGX all'!B$2:B$100)</f>
        <v>6.8806150576637304</v>
      </c>
      <c r="G14" s="5">
        <f>_xlfn.XLOOKUP($A14,'Relative abundances MGX all'!$A$2:$A$100,'Relative abundances MGX all'!C$2:C$100)</f>
        <v>17.887123462974401</v>
      </c>
      <c r="H14" s="5">
        <f>_xlfn.XLOOKUP($A14,'Relative abundances MGX all'!$A$2:$A$100,'Relative abundances MGX all'!D$2:D$100)</f>
        <v>16.611499823895102</v>
      </c>
      <c r="I14" s="5">
        <f>_xlfn.XLOOKUP($A14,'Relative abundances MGX all'!$A$2:$A$100,'Relative abundances MGX all'!E$2:E$100)</f>
        <v>9.7064927699733996</v>
      </c>
      <c r="J14">
        <f>_xlfn.XLOOKUP($A14,'CheckM MAGs'!$A$2:$A$15,'CheckM MAGs'!D$2:D$15)</f>
        <v>12.5</v>
      </c>
      <c r="K14">
        <f>_xlfn.XLOOKUP($A14,'CheckM MAGs'!$A$2:$A$15,'CheckM MAGs'!G$2:G$15)</f>
        <v>5221</v>
      </c>
      <c r="L14">
        <f>_xlfn.XLOOKUP($A14,'CheckM MAGs'!$A$2:$A$15,'CheckM MAGs'!I$2:I$15)</f>
        <v>27</v>
      </c>
      <c r="M14">
        <f>_xlfn.XLOOKUP($A14,'CheckM MAGs'!$A$2:$A$15,'CheckM MAGs'!K$2:K$15)</f>
        <v>4844</v>
      </c>
    </row>
    <row r="15" spans="1:13" ht="15" customHeight="1" x14ac:dyDescent="0.3">
      <c r="A15" t="s">
        <v>45</v>
      </c>
      <c r="C15" t="s">
        <v>23</v>
      </c>
      <c r="D15" t="s">
        <v>46</v>
      </c>
      <c r="F15" s="5">
        <f>_xlfn.XLOOKUP($A15,'Relative abundances MGX all'!$A$2:$A$100,'Relative abundances MGX all'!B$2:B$100)</f>
        <v>4.67781915655332E-2</v>
      </c>
      <c r="G15" s="5">
        <f>_xlfn.XLOOKUP($A15,'Relative abundances MGX all'!$A$2:$A$100,'Relative abundances MGX all'!C$2:C$100)</f>
        <v>8.4991059301908103E-2</v>
      </c>
      <c r="H15" s="5">
        <f>_xlfn.XLOOKUP($A15,'Relative abundances MGX all'!$A$2:$A$100,'Relative abundances MGX all'!D$2:D$100)</f>
        <v>2.1101055033949899E-2</v>
      </c>
      <c r="I15" s="5">
        <f>_xlfn.XLOOKUP($A15,'Relative abundances MGX all'!$A$2:$A$100,'Relative abundances MGX all'!E$2:E$100)</f>
        <v>0.31988723967240501</v>
      </c>
      <c r="J15">
        <f>_xlfn.XLOOKUP($A15,'CheckM MAGs'!$A$2:$A$15,'CheckM MAGs'!D$2:D$15)</f>
        <v>95.7</v>
      </c>
      <c r="K15">
        <f>_xlfn.XLOOKUP($A15,'CheckM MAGs'!$A$2:$A$15,'CheckM MAGs'!G$2:G$15)</f>
        <v>6705</v>
      </c>
      <c r="L15">
        <f>_xlfn.XLOOKUP($A15,'CheckM MAGs'!$A$2:$A$15,'CheckM MAGs'!I$2:I$15)</f>
        <v>87</v>
      </c>
      <c r="M15">
        <f>_xlfn.XLOOKUP($A15,'CheckM MAGs'!$A$2:$A$15,'CheckM MAGs'!K$2:K$15)</f>
        <v>6125</v>
      </c>
    </row>
    <row r="16" spans="1:13" ht="15" customHeight="1" x14ac:dyDescent="0.3">
      <c r="F16" s="5"/>
      <c r="G16" s="5"/>
      <c r="H16" s="5"/>
      <c r="I1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7A9F4-C85E-44DF-A2E3-126C0EFE05CD}">
  <dimension ref="A1:K9"/>
  <sheetViews>
    <sheetView workbookViewId="0">
      <selection activeCell="G6" sqref="G6"/>
    </sheetView>
  </sheetViews>
  <sheetFormatPr defaultRowHeight="14.4" x14ac:dyDescent="0.3"/>
  <cols>
    <col min="1" max="11" width="17.44140625" customWidth="1"/>
  </cols>
  <sheetData>
    <row r="1" spans="1:11" ht="28.8" x14ac:dyDescent="0.3">
      <c r="A1" s="3" t="s">
        <v>47</v>
      </c>
      <c r="B1" s="3" t="s">
        <v>48</v>
      </c>
      <c r="C1" s="3" t="s">
        <v>49</v>
      </c>
      <c r="D1" s="3" t="s">
        <v>50</v>
      </c>
      <c r="E1" s="3" t="s">
        <v>51</v>
      </c>
      <c r="F1" s="3" t="s">
        <v>52</v>
      </c>
      <c r="G1" s="3" t="s">
        <v>53</v>
      </c>
      <c r="H1" s="3" t="s">
        <v>54</v>
      </c>
      <c r="I1" s="3" t="s">
        <v>55</v>
      </c>
      <c r="J1" s="3" t="s">
        <v>56</v>
      </c>
      <c r="K1" s="3" t="s">
        <v>57</v>
      </c>
    </row>
    <row r="2" spans="1:11" x14ac:dyDescent="0.3">
      <c r="A2" t="s">
        <v>37</v>
      </c>
      <c r="B2" t="s">
        <v>58</v>
      </c>
      <c r="C2">
        <v>596</v>
      </c>
      <c r="D2">
        <v>99.9</v>
      </c>
      <c r="E2">
        <v>1.2</v>
      </c>
      <c r="F2">
        <v>69.400000000000006</v>
      </c>
      <c r="G2">
        <v>7304</v>
      </c>
      <c r="H2">
        <v>55</v>
      </c>
      <c r="I2">
        <v>206</v>
      </c>
      <c r="J2">
        <v>133</v>
      </c>
      <c r="K2">
        <v>6399</v>
      </c>
    </row>
    <row r="3" spans="1:11" x14ac:dyDescent="0.3">
      <c r="A3" t="s">
        <v>35</v>
      </c>
      <c r="B3" t="s">
        <v>59</v>
      </c>
      <c r="C3">
        <v>430</v>
      </c>
      <c r="D3">
        <v>99.7</v>
      </c>
      <c r="E3">
        <v>1.3</v>
      </c>
      <c r="F3">
        <v>62.9</v>
      </c>
      <c r="G3">
        <v>6542</v>
      </c>
      <c r="H3">
        <v>122</v>
      </c>
      <c r="I3">
        <v>162</v>
      </c>
      <c r="J3">
        <v>54</v>
      </c>
      <c r="K3">
        <v>6334</v>
      </c>
    </row>
    <row r="4" spans="1:11" x14ac:dyDescent="0.3">
      <c r="A4" t="s">
        <v>45</v>
      </c>
      <c r="B4" t="s">
        <v>60</v>
      </c>
      <c r="C4">
        <v>427</v>
      </c>
      <c r="D4">
        <v>95.7</v>
      </c>
      <c r="E4">
        <v>0.6</v>
      </c>
      <c r="F4">
        <v>66</v>
      </c>
      <c r="G4">
        <v>6705</v>
      </c>
      <c r="H4">
        <v>130</v>
      </c>
      <c r="I4">
        <v>87</v>
      </c>
      <c r="J4">
        <v>52</v>
      </c>
      <c r="K4">
        <v>6125</v>
      </c>
    </row>
    <row r="5" spans="1:11" x14ac:dyDescent="0.3">
      <c r="A5" t="s">
        <v>42</v>
      </c>
      <c r="B5" t="s">
        <v>61</v>
      </c>
      <c r="C5">
        <v>813</v>
      </c>
      <c r="D5">
        <v>88.5</v>
      </c>
      <c r="E5">
        <v>0.8</v>
      </c>
      <c r="F5">
        <v>59.4</v>
      </c>
      <c r="G5">
        <v>4407</v>
      </c>
      <c r="H5">
        <v>93</v>
      </c>
      <c r="I5">
        <v>116</v>
      </c>
      <c r="J5">
        <v>47</v>
      </c>
      <c r="K5">
        <v>4034</v>
      </c>
    </row>
    <row r="6" spans="1:11" x14ac:dyDescent="0.3">
      <c r="A6" t="s">
        <v>43</v>
      </c>
      <c r="B6" t="s">
        <v>62</v>
      </c>
      <c r="C6">
        <v>56</v>
      </c>
      <c r="D6">
        <v>12.5</v>
      </c>
      <c r="E6">
        <v>0</v>
      </c>
      <c r="F6">
        <v>59.9</v>
      </c>
      <c r="G6">
        <v>5221</v>
      </c>
      <c r="H6">
        <v>366</v>
      </c>
      <c r="I6">
        <v>27</v>
      </c>
      <c r="J6">
        <v>14</v>
      </c>
      <c r="K6">
        <v>4844</v>
      </c>
    </row>
    <row r="7" spans="1:11" x14ac:dyDescent="0.3">
      <c r="A7" t="s">
        <v>40</v>
      </c>
      <c r="B7" t="s">
        <v>62</v>
      </c>
      <c r="C7">
        <v>56</v>
      </c>
      <c r="D7">
        <v>4.2</v>
      </c>
      <c r="E7">
        <v>0</v>
      </c>
      <c r="F7">
        <v>59.4</v>
      </c>
      <c r="G7">
        <v>2106</v>
      </c>
      <c r="H7">
        <v>34</v>
      </c>
      <c r="I7">
        <v>105</v>
      </c>
      <c r="J7">
        <v>62</v>
      </c>
      <c r="K7">
        <v>1911</v>
      </c>
    </row>
    <row r="8" spans="1:11" x14ac:dyDescent="0.3">
      <c r="A8" t="s">
        <v>39</v>
      </c>
      <c r="B8" t="s">
        <v>63</v>
      </c>
      <c r="C8">
        <v>103</v>
      </c>
      <c r="D8">
        <v>4.0999999999999996</v>
      </c>
      <c r="E8">
        <v>0</v>
      </c>
      <c r="F8">
        <v>67.400000000000006</v>
      </c>
      <c r="G8">
        <v>422</v>
      </c>
      <c r="H8">
        <v>193</v>
      </c>
      <c r="I8">
        <v>2</v>
      </c>
      <c r="J8">
        <v>2</v>
      </c>
      <c r="K8">
        <v>539</v>
      </c>
    </row>
    <row r="9" spans="1:11" x14ac:dyDescent="0.3">
      <c r="A9" t="s">
        <v>33</v>
      </c>
      <c r="B9" t="s">
        <v>63</v>
      </c>
      <c r="C9">
        <v>103</v>
      </c>
      <c r="D9">
        <v>1.8</v>
      </c>
      <c r="E9">
        <v>0</v>
      </c>
      <c r="F9">
        <v>57.7</v>
      </c>
      <c r="G9">
        <v>1082</v>
      </c>
      <c r="H9">
        <v>319</v>
      </c>
      <c r="I9">
        <v>4</v>
      </c>
      <c r="J9">
        <v>3</v>
      </c>
      <c r="K9">
        <v>1359</v>
      </c>
    </row>
  </sheetData>
  <autoFilter ref="A1:K1" xr:uid="{7DF7A9F4-C85E-44DF-A2E3-126C0EFE05CD}">
    <sortState xmlns:xlrd2="http://schemas.microsoft.com/office/spreadsheetml/2017/richdata2" ref="A2:K9">
      <sortCondition descending="1" ref="D1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0A657-527E-4ADD-AF9B-C5D910807184}">
  <dimension ref="A1:C9"/>
  <sheetViews>
    <sheetView workbookViewId="0">
      <selection activeCell="B2" sqref="B2:B9"/>
    </sheetView>
  </sheetViews>
  <sheetFormatPr defaultRowHeight="14.4" x14ac:dyDescent="0.3"/>
  <sheetData>
    <row r="1" spans="1:3" x14ac:dyDescent="0.3">
      <c r="A1" s="1" t="s">
        <v>64</v>
      </c>
      <c r="B1" s="1" t="s">
        <v>65</v>
      </c>
      <c r="C1" s="1" t="s">
        <v>66</v>
      </c>
    </row>
    <row r="2" spans="1:3" x14ac:dyDescent="0.3">
      <c r="A2" t="s">
        <v>33</v>
      </c>
      <c r="B2" t="s">
        <v>34</v>
      </c>
    </row>
    <row r="3" spans="1:3" x14ac:dyDescent="0.3">
      <c r="A3" t="s">
        <v>35</v>
      </c>
      <c r="B3" t="s">
        <v>23</v>
      </c>
      <c r="C3" t="s">
        <v>36</v>
      </c>
    </row>
    <row r="4" spans="1:3" x14ac:dyDescent="0.3">
      <c r="A4" t="s">
        <v>37</v>
      </c>
      <c r="B4" t="s">
        <v>11</v>
      </c>
      <c r="C4" t="s">
        <v>38</v>
      </c>
    </row>
    <row r="5" spans="1:3" x14ac:dyDescent="0.3">
      <c r="A5" t="s">
        <v>39</v>
      </c>
      <c r="B5" t="s">
        <v>34</v>
      </c>
    </row>
    <row r="6" spans="1:3" x14ac:dyDescent="0.3">
      <c r="A6" t="s">
        <v>40</v>
      </c>
      <c r="B6" t="s">
        <v>11</v>
      </c>
      <c r="C6" t="s">
        <v>41</v>
      </c>
    </row>
    <row r="7" spans="1:3" x14ac:dyDescent="0.3">
      <c r="A7" t="s">
        <v>42</v>
      </c>
      <c r="B7" t="s">
        <v>11</v>
      </c>
      <c r="C7" t="s">
        <v>41</v>
      </c>
    </row>
    <row r="8" spans="1:3" x14ac:dyDescent="0.3">
      <c r="A8" t="s">
        <v>43</v>
      </c>
      <c r="B8" t="s">
        <v>11</v>
      </c>
      <c r="C8" t="s">
        <v>44</v>
      </c>
    </row>
    <row r="9" spans="1:3" x14ac:dyDescent="0.3">
      <c r="A9" t="s">
        <v>45</v>
      </c>
      <c r="B9" t="s">
        <v>23</v>
      </c>
      <c r="C9" t="s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0D8DA-BBB6-4F9A-A843-E5D745ED6627}">
  <dimension ref="A1:K7"/>
  <sheetViews>
    <sheetView workbookViewId="0">
      <selection activeCell="A4" sqref="A4"/>
    </sheetView>
  </sheetViews>
  <sheetFormatPr defaultRowHeight="14.4" x14ac:dyDescent="0.3"/>
  <cols>
    <col min="1" max="1" width="41.6640625" customWidth="1"/>
    <col min="2" max="2" width="31.6640625" customWidth="1"/>
  </cols>
  <sheetData>
    <row r="1" spans="1:11" x14ac:dyDescent="0.3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</row>
    <row r="2" spans="1:11" x14ac:dyDescent="0.3">
      <c r="A2" t="s">
        <v>25</v>
      </c>
      <c r="B2" t="s">
        <v>67</v>
      </c>
      <c r="C2">
        <v>659</v>
      </c>
      <c r="D2">
        <v>100</v>
      </c>
      <c r="E2">
        <v>0</v>
      </c>
      <c r="F2">
        <v>66.2</v>
      </c>
      <c r="G2">
        <v>4481</v>
      </c>
      <c r="H2">
        <v>1</v>
      </c>
      <c r="I2">
        <v>4481</v>
      </c>
      <c r="J2">
        <v>4481</v>
      </c>
      <c r="K2">
        <v>3968</v>
      </c>
    </row>
    <row r="3" spans="1:11" x14ac:dyDescent="0.3">
      <c r="A3" t="s">
        <v>14</v>
      </c>
      <c r="B3" t="s">
        <v>60</v>
      </c>
      <c r="C3">
        <v>427</v>
      </c>
      <c r="D3">
        <v>100</v>
      </c>
      <c r="E3">
        <v>0.7</v>
      </c>
      <c r="F3">
        <v>68.400000000000006</v>
      </c>
      <c r="G3">
        <v>6715</v>
      </c>
      <c r="H3">
        <v>1</v>
      </c>
      <c r="I3">
        <v>6715</v>
      </c>
      <c r="J3">
        <v>6715</v>
      </c>
      <c r="K3">
        <v>6117</v>
      </c>
    </row>
    <row r="4" spans="1:11" x14ac:dyDescent="0.3">
      <c r="A4" t="s">
        <v>9</v>
      </c>
      <c r="B4" t="s">
        <v>61</v>
      </c>
      <c r="C4">
        <v>813</v>
      </c>
      <c r="D4">
        <v>100</v>
      </c>
      <c r="E4">
        <v>0.3</v>
      </c>
      <c r="F4">
        <v>62.9</v>
      </c>
      <c r="G4">
        <v>6999</v>
      </c>
      <c r="H4">
        <v>1</v>
      </c>
      <c r="I4">
        <v>6999</v>
      </c>
      <c r="J4">
        <v>6999</v>
      </c>
      <c r="K4">
        <v>6211</v>
      </c>
    </row>
    <row r="5" spans="1:11" x14ac:dyDescent="0.3">
      <c r="A5" t="s">
        <v>29</v>
      </c>
      <c r="B5" t="s">
        <v>61</v>
      </c>
      <c r="C5">
        <v>813</v>
      </c>
      <c r="D5">
        <v>100</v>
      </c>
      <c r="E5">
        <v>1.2</v>
      </c>
      <c r="F5">
        <v>60.2</v>
      </c>
      <c r="G5">
        <v>8064</v>
      </c>
      <c r="H5">
        <v>7</v>
      </c>
      <c r="I5">
        <v>7649</v>
      </c>
      <c r="J5">
        <v>1152</v>
      </c>
      <c r="K5">
        <v>7399</v>
      </c>
    </row>
    <row r="6" spans="1:11" x14ac:dyDescent="0.3">
      <c r="A6" t="s">
        <v>17</v>
      </c>
      <c r="B6" t="s">
        <v>61</v>
      </c>
      <c r="C6">
        <v>813</v>
      </c>
      <c r="D6">
        <v>100</v>
      </c>
      <c r="E6">
        <v>0.8</v>
      </c>
      <c r="F6">
        <v>59.1</v>
      </c>
      <c r="G6">
        <v>6648</v>
      </c>
      <c r="H6">
        <v>1</v>
      </c>
      <c r="I6">
        <v>6648</v>
      </c>
      <c r="J6">
        <v>6648</v>
      </c>
      <c r="K6">
        <v>5852</v>
      </c>
    </row>
    <row r="7" spans="1:11" x14ac:dyDescent="0.3">
      <c r="A7" t="s">
        <v>21</v>
      </c>
      <c r="B7" t="s">
        <v>61</v>
      </c>
      <c r="C7">
        <v>813</v>
      </c>
      <c r="D7">
        <v>100</v>
      </c>
      <c r="E7">
        <v>1.1000000000000001</v>
      </c>
      <c r="F7">
        <v>58.9</v>
      </c>
      <c r="G7">
        <v>6927</v>
      </c>
      <c r="H7">
        <v>1</v>
      </c>
      <c r="I7">
        <v>6927</v>
      </c>
      <c r="J7">
        <v>6927</v>
      </c>
      <c r="K7">
        <v>6229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7615C-08A5-4FFF-87B0-A37E1A141FBF}">
  <dimension ref="A1:C7"/>
  <sheetViews>
    <sheetView workbookViewId="0">
      <selection sqref="A1:C1"/>
    </sheetView>
  </sheetViews>
  <sheetFormatPr defaultRowHeight="14.4" x14ac:dyDescent="0.3"/>
  <cols>
    <col min="1" max="1" width="17.88671875" customWidth="1"/>
  </cols>
  <sheetData>
    <row r="1" spans="1:3" x14ac:dyDescent="0.3">
      <c r="A1" s="1" t="s">
        <v>68</v>
      </c>
      <c r="B1" s="1" t="s">
        <v>65</v>
      </c>
      <c r="C1" s="1" t="s">
        <v>66</v>
      </c>
    </row>
    <row r="2" spans="1:3" x14ac:dyDescent="0.3">
      <c r="A2" t="s">
        <v>9</v>
      </c>
      <c r="B2" t="s">
        <v>11</v>
      </c>
      <c r="C2" t="s">
        <v>12</v>
      </c>
    </row>
    <row r="3" spans="1:3" x14ac:dyDescent="0.3">
      <c r="A3" t="s">
        <v>14</v>
      </c>
      <c r="B3" t="s">
        <v>11</v>
      </c>
      <c r="C3" t="s">
        <v>16</v>
      </c>
    </row>
    <row r="4" spans="1:3" x14ac:dyDescent="0.3">
      <c r="A4" t="s">
        <v>17</v>
      </c>
      <c r="B4" t="s">
        <v>11</v>
      </c>
      <c r="C4" t="s">
        <v>19</v>
      </c>
    </row>
    <row r="5" spans="1:3" x14ac:dyDescent="0.3">
      <c r="A5" t="s">
        <v>21</v>
      </c>
      <c r="B5" t="s">
        <v>23</v>
      </c>
      <c r="C5" t="s">
        <v>24</v>
      </c>
    </row>
    <row r="6" spans="1:3" x14ac:dyDescent="0.3">
      <c r="A6" t="s">
        <v>25</v>
      </c>
      <c r="B6" t="s">
        <v>11</v>
      </c>
      <c r="C6" t="s">
        <v>27</v>
      </c>
    </row>
    <row r="7" spans="1:3" x14ac:dyDescent="0.3">
      <c r="A7" t="s">
        <v>29</v>
      </c>
      <c r="B7" t="s">
        <v>11</v>
      </c>
      <c r="C7" t="s">
        <v>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27F76-EBE7-446E-AE9A-A4B5D68E9C23}">
  <dimension ref="A1:C6"/>
  <sheetViews>
    <sheetView workbookViewId="0">
      <selection activeCell="I21" sqref="I21"/>
    </sheetView>
  </sheetViews>
  <sheetFormatPr defaultRowHeight="14.4" x14ac:dyDescent="0.3"/>
  <sheetData>
    <row r="1" spans="1:3" x14ac:dyDescent="0.3">
      <c r="A1" t="s">
        <v>69</v>
      </c>
      <c r="B1" t="s">
        <v>70</v>
      </c>
      <c r="C1" t="s">
        <v>71</v>
      </c>
    </row>
    <row r="2" spans="1:3" x14ac:dyDescent="0.3">
      <c r="A2" t="s">
        <v>72</v>
      </c>
      <c r="B2" s="4">
        <v>65.125064462290396</v>
      </c>
      <c r="C2" s="4">
        <v>2.2849174353913999</v>
      </c>
    </row>
    <row r="3" spans="1:3" x14ac:dyDescent="0.3">
      <c r="A3" t="s">
        <v>73</v>
      </c>
      <c r="B3" s="4">
        <v>16.372052407943801</v>
      </c>
      <c r="C3" s="4">
        <v>1.0329558228328799</v>
      </c>
    </row>
    <row r="4" spans="1:3" x14ac:dyDescent="0.3">
      <c r="A4" t="s">
        <v>74</v>
      </c>
      <c r="B4" s="4">
        <v>8.1745537747385804</v>
      </c>
      <c r="C4" s="4">
        <v>0.613134481968995</v>
      </c>
    </row>
    <row r="5" spans="1:3" x14ac:dyDescent="0.3">
      <c r="A5" t="s">
        <v>75</v>
      </c>
      <c r="B5" s="4">
        <v>1.76722014214173</v>
      </c>
      <c r="C5" s="4">
        <v>8.9534169245345699E-2</v>
      </c>
    </row>
    <row r="6" spans="1:3" x14ac:dyDescent="0.3">
      <c r="A6" t="s">
        <v>76</v>
      </c>
      <c r="B6" s="4">
        <v>8.5611092128853805</v>
      </c>
      <c r="C6" s="4">
        <v>0.87921044242958302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6C11D-D67F-428F-A465-3D238691D4C6}">
  <dimension ref="A1:E11"/>
  <sheetViews>
    <sheetView workbookViewId="0">
      <selection activeCell="B15" sqref="B15"/>
    </sheetView>
  </sheetViews>
  <sheetFormatPr defaultRowHeight="14.4" x14ac:dyDescent="0.3"/>
  <cols>
    <col min="1" max="5" width="17.33203125" customWidth="1"/>
  </cols>
  <sheetData>
    <row r="1" spans="1:5" x14ac:dyDescent="0.3">
      <c r="A1" s="6" t="s">
        <v>68</v>
      </c>
      <c r="B1" s="6" t="s">
        <v>77</v>
      </c>
      <c r="C1" s="6" t="s">
        <v>78</v>
      </c>
      <c r="D1" s="6" t="s">
        <v>79</v>
      </c>
      <c r="E1" s="6" t="s">
        <v>80</v>
      </c>
    </row>
    <row r="2" spans="1:5" x14ac:dyDescent="0.3">
      <c r="A2" s="6" t="s">
        <v>25</v>
      </c>
      <c r="B2" s="7">
        <v>5.2456049519467706E-3</v>
      </c>
      <c r="C2" s="7">
        <v>7.9752395954963123E-3</v>
      </c>
      <c r="D2" s="7">
        <v>6.3259478390571486E-3</v>
      </c>
      <c r="E2" s="7">
        <v>2.029072330590314E-2</v>
      </c>
    </row>
    <row r="3" spans="1:5" x14ac:dyDescent="0.3">
      <c r="A3" s="6" t="s">
        <v>14</v>
      </c>
      <c r="B3" s="7">
        <v>2.11400627775786E-2</v>
      </c>
      <c r="C3" s="7">
        <v>2.3944222030389341E-2</v>
      </c>
      <c r="D3" s="7">
        <v>1.8633731653060912E-2</v>
      </c>
      <c r="E3" s="7">
        <v>1.9002910432102279E-2</v>
      </c>
    </row>
    <row r="4" spans="1:5" x14ac:dyDescent="0.3">
      <c r="A4" s="6" t="s">
        <v>45</v>
      </c>
      <c r="B4" s="7">
        <v>8.7820718609531861E-2</v>
      </c>
      <c r="C4" s="7">
        <v>0.15918213539145179</v>
      </c>
      <c r="D4" s="7">
        <v>4.7673688677916222E-2</v>
      </c>
      <c r="E4" s="7">
        <v>0.59888767353435779</v>
      </c>
    </row>
    <row r="5" spans="1:5" x14ac:dyDescent="0.3">
      <c r="A5" s="6" t="s">
        <v>35</v>
      </c>
      <c r="B5" s="7">
        <v>0.27126291166706201</v>
      </c>
      <c r="C5" s="7">
        <v>0.71710099873869759</v>
      </c>
      <c r="D5" s="7">
        <v>0.18390238364886391</v>
      </c>
      <c r="E5" s="7">
        <v>0.1998731335213153</v>
      </c>
    </row>
    <row r="6" spans="1:5" x14ac:dyDescent="0.3">
      <c r="A6" s="6" t="s">
        <v>29</v>
      </c>
      <c r="B6" s="7">
        <v>0.8550664163944196</v>
      </c>
      <c r="C6" s="7">
        <v>0.90460391376696714</v>
      </c>
      <c r="D6" s="7">
        <v>0.90295502491329394</v>
      </c>
      <c r="E6" s="7">
        <v>0.99739566093941201</v>
      </c>
    </row>
    <row r="7" spans="1:5" x14ac:dyDescent="0.3">
      <c r="A7" s="6" t="s">
        <v>9</v>
      </c>
      <c r="B7" s="7">
        <v>1.3604161196680591</v>
      </c>
      <c r="C7" s="7">
        <v>2.0525646544943958</v>
      </c>
      <c r="D7" s="7">
        <v>2.066401954107782</v>
      </c>
      <c r="E7" s="7">
        <v>1.689611209486513</v>
      </c>
    </row>
    <row r="8" spans="1:5" x14ac:dyDescent="0.3">
      <c r="A8" s="6" t="s">
        <v>17</v>
      </c>
      <c r="B8" s="7">
        <v>2.078697561752048</v>
      </c>
      <c r="C8" s="7">
        <v>2.9486471764896192</v>
      </c>
      <c r="D8" s="7">
        <v>2.9176386514256709</v>
      </c>
      <c r="E8" s="7">
        <v>2.556301009977664</v>
      </c>
    </row>
    <row r="9" spans="1:5" x14ac:dyDescent="0.3">
      <c r="A9" s="6" t="s">
        <v>37</v>
      </c>
      <c r="B9" s="7">
        <v>3.5470545863382421</v>
      </c>
      <c r="C9" s="7">
        <v>7.1020539362517141</v>
      </c>
      <c r="D9" s="7">
        <v>2.981831284906975</v>
      </c>
      <c r="E9" s="7">
        <v>0.46897674317987492</v>
      </c>
    </row>
    <row r="10" spans="1:5" x14ac:dyDescent="0.3">
      <c r="A10" s="6" t="s">
        <v>21</v>
      </c>
      <c r="B10" s="7">
        <v>7.2262085433312091</v>
      </c>
      <c r="C10" s="7">
        <v>9.5971157167871191</v>
      </c>
      <c r="D10" s="7">
        <v>9.4559676786409508</v>
      </c>
      <c r="E10" s="7">
        <v>8.86745800689941</v>
      </c>
    </row>
    <row r="11" spans="1:5" x14ac:dyDescent="0.3">
      <c r="A11" s="6" t="s">
        <v>42</v>
      </c>
      <c r="B11" s="7">
        <v>84.547087474509894</v>
      </c>
      <c r="C11" s="7">
        <v>76.486812006454144</v>
      </c>
      <c r="D11" s="7">
        <v>81.418669654186417</v>
      </c>
      <c r="E11" s="7">
        <v>84.582202928723419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2B537-EF75-4CEE-83C4-B04B90AC6614}">
  <dimension ref="A1:E15"/>
  <sheetViews>
    <sheetView workbookViewId="0">
      <selection sqref="A1:E1"/>
    </sheetView>
  </sheetViews>
  <sheetFormatPr defaultColWidth="8.88671875" defaultRowHeight="14.4" x14ac:dyDescent="0.3"/>
  <cols>
    <col min="1" max="1" width="22.6640625" style="8" customWidth="1"/>
    <col min="2" max="5" width="22.6640625" style="9" customWidth="1"/>
    <col min="6" max="16384" width="8.88671875" style="9"/>
  </cols>
  <sheetData>
    <row r="1" spans="1:5" s="8" customFormat="1" x14ac:dyDescent="0.3">
      <c r="A1" s="8" t="s">
        <v>68</v>
      </c>
      <c r="B1" s="8" t="s">
        <v>77</v>
      </c>
      <c r="C1" s="8" t="s">
        <v>78</v>
      </c>
      <c r="D1" s="8" t="s">
        <v>79</v>
      </c>
      <c r="E1" s="8" t="s">
        <v>80</v>
      </c>
    </row>
    <row r="2" spans="1:5" x14ac:dyDescent="0.3">
      <c r="A2" s="8" t="s">
        <v>29</v>
      </c>
      <c r="B2" s="7">
        <v>2.9358573994601001E-2</v>
      </c>
      <c r="C2" s="7">
        <v>5.7514088142087798E-2</v>
      </c>
      <c r="D2" s="7">
        <v>5.5793306879688503E-2</v>
      </c>
      <c r="E2" s="7">
        <v>3.3874340497613002E-2</v>
      </c>
    </row>
    <row r="3" spans="1:5" x14ac:dyDescent="0.3">
      <c r="A3" s="8" t="s">
        <v>25</v>
      </c>
      <c r="B3" s="7">
        <v>1.6972857864632901E-3</v>
      </c>
      <c r="C3" s="7">
        <v>3.0406645666659301E-3</v>
      </c>
      <c r="D3" s="7">
        <v>2.13655203667267E-3</v>
      </c>
      <c r="E3" s="7">
        <v>9.6956774855099098E-3</v>
      </c>
    </row>
    <row r="4" spans="1:5" x14ac:dyDescent="0.3">
      <c r="A4" s="8" t="s">
        <v>21</v>
      </c>
      <c r="B4" s="7">
        <v>0.42041228815967802</v>
      </c>
      <c r="C4" s="7">
        <v>0.90224191174454504</v>
      </c>
      <c r="D4" s="7">
        <v>0.87752217171019797</v>
      </c>
      <c r="E4" s="7">
        <v>0.53657536063511901</v>
      </c>
    </row>
    <row r="5" spans="1:5" x14ac:dyDescent="0.3">
      <c r="A5" s="8" t="s">
        <v>17</v>
      </c>
      <c r="B5" s="7">
        <v>0.13599091777500699</v>
      </c>
      <c r="C5" s="7">
        <v>0.329300291200194</v>
      </c>
      <c r="D5" s="7">
        <v>0.31617462866003099</v>
      </c>
      <c r="E5" s="7">
        <v>0.177906891438362</v>
      </c>
    </row>
    <row r="6" spans="1:5" x14ac:dyDescent="0.3">
      <c r="A6" s="8" t="s">
        <v>14</v>
      </c>
      <c r="B6" s="7">
        <v>5.5118460541621599E-3</v>
      </c>
      <c r="C6" s="7">
        <v>6.38321508330291E-3</v>
      </c>
      <c r="D6" s="7">
        <v>3.2076340023144902E-3</v>
      </c>
      <c r="E6" s="7">
        <v>3.1476167545869201E-3</v>
      </c>
    </row>
    <row r="7" spans="1:5" x14ac:dyDescent="0.3">
      <c r="A7" s="8" t="s">
        <v>9</v>
      </c>
      <c r="B7" s="7">
        <v>0.119526623250412</v>
      </c>
      <c r="C7" s="7">
        <v>0.25576955705026899</v>
      </c>
      <c r="D7" s="7">
        <v>0.25363803864880802</v>
      </c>
      <c r="E7" s="7">
        <v>0.15115317339607601</v>
      </c>
    </row>
    <row r="8" spans="1:5" x14ac:dyDescent="0.3">
      <c r="A8" s="8" t="s">
        <v>45</v>
      </c>
      <c r="B8" s="7">
        <v>4.67781915655332E-2</v>
      </c>
      <c r="C8" s="7">
        <v>8.4991059301908103E-2</v>
      </c>
      <c r="D8" s="7">
        <v>2.1101055033949899E-2</v>
      </c>
      <c r="E8" s="7">
        <v>0.31988723967240501</v>
      </c>
    </row>
    <row r="9" spans="1:5" x14ac:dyDescent="0.3">
      <c r="A9" s="8" t="s">
        <v>43</v>
      </c>
      <c r="B9" s="7">
        <v>6.8806150576637304</v>
      </c>
      <c r="C9" s="7">
        <v>17.887123462974401</v>
      </c>
      <c r="D9" s="7">
        <v>16.611499823895102</v>
      </c>
      <c r="E9" s="7">
        <v>9.7064927699733996</v>
      </c>
    </row>
    <row r="10" spans="1:5" x14ac:dyDescent="0.3">
      <c r="A10" s="8" t="s">
        <v>42</v>
      </c>
      <c r="B10" s="7">
        <v>48.172455972561799</v>
      </c>
      <c r="C10" s="7">
        <v>41.101704461801297</v>
      </c>
      <c r="D10" s="7">
        <v>44.2756171266061</v>
      </c>
      <c r="E10" s="7">
        <v>44.396031807504201</v>
      </c>
    </row>
    <row r="11" spans="1:5" x14ac:dyDescent="0.3">
      <c r="A11" s="8" t="s">
        <v>40</v>
      </c>
      <c r="B11" s="7">
        <v>41.895214319651203</v>
      </c>
      <c r="C11" s="7">
        <v>34.715109350027397</v>
      </c>
      <c r="D11" s="7">
        <v>35.651850507604202</v>
      </c>
      <c r="E11" s="7">
        <v>44.128403119451399</v>
      </c>
    </row>
    <row r="12" spans="1:5" x14ac:dyDescent="0.3">
      <c r="A12" s="8" t="s">
        <v>39</v>
      </c>
      <c r="B12" s="7">
        <v>4.5257041072160199E-2</v>
      </c>
      <c r="C12" s="7">
        <v>8.1118350189272007E-2</v>
      </c>
      <c r="D12" s="7">
        <v>1.9120028613965001E-2</v>
      </c>
      <c r="E12" s="7">
        <v>9.9102758110042793E-2</v>
      </c>
    </row>
    <row r="13" spans="1:5" x14ac:dyDescent="0.3">
      <c r="A13" s="8" t="s">
        <v>37</v>
      </c>
      <c r="B13" s="7">
        <v>2.0614860170796301</v>
      </c>
      <c r="C13" s="7">
        <v>4.0820577032470098</v>
      </c>
      <c r="D13" s="7">
        <v>1.71857583462913</v>
      </c>
      <c r="E13" s="7">
        <v>0.249427744108489</v>
      </c>
    </row>
    <row r="14" spans="1:5" x14ac:dyDescent="0.3">
      <c r="A14" s="8" t="s">
        <v>35</v>
      </c>
      <c r="B14" s="7">
        <v>0.157584718865518</v>
      </c>
      <c r="C14" s="7">
        <v>0.41206375442323401</v>
      </c>
      <c r="D14" s="7">
        <v>0.105646205024503</v>
      </c>
      <c r="E14" s="7">
        <v>0.107941955770001</v>
      </c>
    </row>
    <row r="15" spans="1:5" x14ac:dyDescent="0.3">
      <c r="A15" s="8" t="s">
        <v>33</v>
      </c>
      <c r="B15" s="7">
        <v>2.8111146519955599E-2</v>
      </c>
      <c r="C15" s="7">
        <v>8.1582130248225707E-2</v>
      </c>
      <c r="D15" s="7">
        <v>8.8117086655211396E-2</v>
      </c>
      <c r="E15" s="7">
        <v>8.0359545202600996E-2</v>
      </c>
    </row>
  </sheetData>
  <autoFilter ref="A1:E1" xr:uid="{0A72B537-EF75-4CEE-83C4-B04B90AC6614}">
    <sortState xmlns:xlrd2="http://schemas.microsoft.com/office/spreadsheetml/2017/richdata2" ref="A2:E15">
      <sortCondition descending="1" ref="A1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84662-7481-48E1-8B6D-121CAA4E4792}">
  <dimension ref="A1:AL9"/>
  <sheetViews>
    <sheetView workbookViewId="0"/>
  </sheetViews>
  <sheetFormatPr defaultRowHeight="14.4" x14ac:dyDescent="0.3"/>
  <sheetData>
    <row r="1" spans="1:38" x14ac:dyDescent="0.3"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</row>
    <row r="2" spans="1:38" x14ac:dyDescent="0.3">
      <c r="A2" s="1">
        <v>0</v>
      </c>
      <c r="B2" t="s">
        <v>33</v>
      </c>
      <c r="C2">
        <v>162</v>
      </c>
      <c r="D2">
        <v>162</v>
      </c>
      <c r="E2">
        <v>32</v>
      </c>
      <c r="F2">
        <v>17</v>
      </c>
      <c r="G2">
        <v>1</v>
      </c>
      <c r="H2">
        <v>1</v>
      </c>
      <c r="I2">
        <v>725182</v>
      </c>
      <c r="J2">
        <v>725182</v>
      </c>
      <c r="K2">
        <v>416222</v>
      </c>
      <c r="L2">
        <v>300816</v>
      </c>
      <c r="M2">
        <v>59662</v>
      </c>
      <c r="N2">
        <v>59662</v>
      </c>
      <c r="O2">
        <v>162</v>
      </c>
      <c r="P2">
        <v>59662</v>
      </c>
      <c r="Q2">
        <v>725182</v>
      </c>
      <c r="R2">
        <v>39833081</v>
      </c>
      <c r="S2">
        <v>8225</v>
      </c>
      <c r="T2">
        <v>2561</v>
      </c>
      <c r="U2">
        <v>24</v>
      </c>
      <c r="V2">
        <v>68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 t="s">
        <v>118</v>
      </c>
      <c r="AE2">
        <v>681355</v>
      </c>
      <c r="AF2">
        <v>0.115</v>
      </c>
      <c r="AG2">
        <v>1.0049999999999999</v>
      </c>
      <c r="AH2">
        <v>0</v>
      </c>
      <c r="AI2">
        <v>2040.91</v>
      </c>
      <c r="AJ2">
        <v>26.28</v>
      </c>
      <c r="AK2">
        <v>10869</v>
      </c>
      <c r="AL2">
        <v>43633</v>
      </c>
    </row>
    <row r="3" spans="1:38" x14ac:dyDescent="0.3">
      <c r="A3" s="1">
        <v>1</v>
      </c>
      <c r="B3" t="s">
        <v>35</v>
      </c>
      <c r="C3">
        <v>172</v>
      </c>
      <c r="D3">
        <v>172</v>
      </c>
      <c r="E3">
        <v>157</v>
      </c>
      <c r="F3">
        <v>132</v>
      </c>
      <c r="G3">
        <v>88</v>
      </c>
      <c r="H3">
        <v>47</v>
      </c>
      <c r="I3">
        <v>6785359</v>
      </c>
      <c r="J3">
        <v>6785359</v>
      </c>
      <c r="K3">
        <v>6739231</v>
      </c>
      <c r="L3">
        <v>6548022</v>
      </c>
      <c r="M3">
        <v>5813943</v>
      </c>
      <c r="N3">
        <v>4279123</v>
      </c>
      <c r="O3">
        <v>172</v>
      </c>
      <c r="P3">
        <v>222402</v>
      </c>
      <c r="Q3">
        <v>6785359</v>
      </c>
      <c r="R3">
        <v>39833081</v>
      </c>
      <c r="S3">
        <v>65129</v>
      </c>
      <c r="T3">
        <v>37727</v>
      </c>
      <c r="U3">
        <v>32</v>
      </c>
      <c r="V3">
        <v>66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3</v>
      </c>
      <c r="AD3" t="s">
        <v>119</v>
      </c>
      <c r="AE3">
        <v>6782789</v>
      </c>
      <c r="AF3">
        <v>6.0000000000000001E-3</v>
      </c>
      <c r="AG3">
        <v>1.026</v>
      </c>
      <c r="AH3">
        <v>0</v>
      </c>
      <c r="AI3">
        <v>3674.12</v>
      </c>
      <c r="AJ3">
        <v>0</v>
      </c>
      <c r="AK3">
        <v>197</v>
      </c>
      <c r="AL3">
        <v>2570</v>
      </c>
    </row>
    <row r="4" spans="1:38" x14ac:dyDescent="0.3">
      <c r="A4" s="1">
        <v>2</v>
      </c>
      <c r="B4" t="s">
        <v>37</v>
      </c>
      <c r="C4">
        <v>85</v>
      </c>
      <c r="D4">
        <v>85</v>
      </c>
      <c r="E4">
        <v>74</v>
      </c>
      <c r="F4">
        <v>68</v>
      </c>
      <c r="G4">
        <v>60</v>
      </c>
      <c r="H4">
        <v>46</v>
      </c>
      <c r="I4">
        <v>6994699</v>
      </c>
      <c r="J4">
        <v>6994699</v>
      </c>
      <c r="K4">
        <v>6962630</v>
      </c>
      <c r="L4">
        <v>6920873</v>
      </c>
      <c r="M4">
        <v>6791013</v>
      </c>
      <c r="N4">
        <v>6283340</v>
      </c>
      <c r="O4">
        <v>85</v>
      </c>
      <c r="P4">
        <v>499327</v>
      </c>
      <c r="Q4">
        <v>6994699</v>
      </c>
      <c r="R4">
        <v>39833081</v>
      </c>
      <c r="S4">
        <v>131378</v>
      </c>
      <c r="T4">
        <v>86423</v>
      </c>
      <c r="U4">
        <v>16</v>
      </c>
      <c r="V4">
        <v>31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3</v>
      </c>
      <c r="AD4" t="s">
        <v>120</v>
      </c>
      <c r="AE4">
        <v>6990087</v>
      </c>
      <c r="AF4">
        <v>1.0999999999999999E-2</v>
      </c>
      <c r="AG4">
        <v>1.0169999999999999</v>
      </c>
      <c r="AH4">
        <v>0</v>
      </c>
      <c r="AI4">
        <v>3970.88</v>
      </c>
      <c r="AJ4">
        <v>0</v>
      </c>
      <c r="AK4">
        <v>246</v>
      </c>
      <c r="AL4">
        <v>4612</v>
      </c>
    </row>
    <row r="5" spans="1:38" x14ac:dyDescent="0.3">
      <c r="A5" s="1">
        <v>3</v>
      </c>
      <c r="B5" t="s">
        <v>39</v>
      </c>
      <c r="C5">
        <v>128</v>
      </c>
      <c r="D5">
        <v>128</v>
      </c>
      <c r="E5">
        <v>101</v>
      </c>
      <c r="F5">
        <v>90</v>
      </c>
      <c r="G5">
        <v>59</v>
      </c>
      <c r="H5">
        <v>37</v>
      </c>
      <c r="I5">
        <v>6404000</v>
      </c>
      <c r="J5">
        <v>6404000</v>
      </c>
      <c r="K5">
        <v>6320417</v>
      </c>
      <c r="L5">
        <v>6238866</v>
      </c>
      <c r="M5">
        <v>5704282</v>
      </c>
      <c r="N5">
        <v>4938847</v>
      </c>
      <c r="O5">
        <v>128</v>
      </c>
      <c r="P5">
        <v>395873</v>
      </c>
      <c r="Q5">
        <v>6404000</v>
      </c>
      <c r="R5">
        <v>39833081</v>
      </c>
      <c r="S5">
        <v>116987</v>
      </c>
      <c r="T5">
        <v>57935</v>
      </c>
      <c r="U5">
        <v>17</v>
      </c>
      <c r="V5">
        <v>35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 t="s">
        <v>121</v>
      </c>
      <c r="AE5">
        <v>6403209</v>
      </c>
      <c r="AF5">
        <v>1.6E-2</v>
      </c>
      <c r="AG5">
        <v>1.026</v>
      </c>
      <c r="AH5">
        <v>0</v>
      </c>
      <c r="AI5">
        <v>4023.26</v>
      </c>
      <c r="AJ5">
        <v>0</v>
      </c>
      <c r="AK5">
        <v>119</v>
      </c>
      <c r="AL5">
        <v>791</v>
      </c>
    </row>
    <row r="6" spans="1:38" x14ac:dyDescent="0.3">
      <c r="A6" s="1">
        <v>4</v>
      </c>
      <c r="B6" t="s">
        <v>40</v>
      </c>
      <c r="C6">
        <v>206</v>
      </c>
      <c r="D6">
        <v>206</v>
      </c>
      <c r="E6">
        <v>156</v>
      </c>
      <c r="F6">
        <v>123</v>
      </c>
      <c r="G6">
        <v>79</v>
      </c>
      <c r="H6">
        <v>37</v>
      </c>
      <c r="I6">
        <v>6006529</v>
      </c>
      <c r="J6">
        <v>6006529</v>
      </c>
      <c r="K6">
        <v>5854851</v>
      </c>
      <c r="L6">
        <v>5599866</v>
      </c>
      <c r="M6">
        <v>4892550</v>
      </c>
      <c r="N6">
        <v>3451445</v>
      </c>
      <c r="O6">
        <v>206</v>
      </c>
      <c r="P6">
        <v>256828</v>
      </c>
      <c r="Q6">
        <v>6006529</v>
      </c>
      <c r="R6">
        <v>39833081</v>
      </c>
      <c r="S6">
        <v>62200</v>
      </c>
      <c r="T6">
        <v>29741</v>
      </c>
      <c r="U6">
        <v>30</v>
      </c>
      <c r="V6">
        <v>65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117</v>
      </c>
      <c r="AD6" t="s">
        <v>122</v>
      </c>
      <c r="AE6">
        <v>5866137</v>
      </c>
      <c r="AF6">
        <v>0.373</v>
      </c>
      <c r="AG6">
        <v>1.018</v>
      </c>
      <c r="AH6">
        <v>0</v>
      </c>
      <c r="AI6">
        <v>4318.49</v>
      </c>
      <c r="AJ6">
        <v>43.76</v>
      </c>
      <c r="AK6">
        <v>3621</v>
      </c>
      <c r="AL6">
        <v>139984</v>
      </c>
    </row>
    <row r="7" spans="1:38" x14ac:dyDescent="0.3">
      <c r="A7" s="1">
        <v>5</v>
      </c>
      <c r="B7" t="s">
        <v>42</v>
      </c>
      <c r="C7">
        <v>102</v>
      </c>
      <c r="D7">
        <v>102</v>
      </c>
      <c r="E7">
        <v>83</v>
      </c>
      <c r="F7">
        <v>61</v>
      </c>
      <c r="G7">
        <v>32</v>
      </c>
      <c r="H7">
        <v>12</v>
      </c>
      <c r="I7">
        <v>2276554</v>
      </c>
      <c r="J7">
        <v>2276554</v>
      </c>
      <c r="K7">
        <v>2212206</v>
      </c>
      <c r="L7">
        <v>2051331</v>
      </c>
      <c r="M7">
        <v>1612226</v>
      </c>
      <c r="N7">
        <v>876893</v>
      </c>
      <c r="O7">
        <v>102</v>
      </c>
      <c r="P7">
        <v>111612</v>
      </c>
      <c r="Q7">
        <v>2276554</v>
      </c>
      <c r="R7">
        <v>39833081</v>
      </c>
      <c r="S7">
        <v>39829</v>
      </c>
      <c r="T7">
        <v>18392</v>
      </c>
      <c r="U7">
        <v>18</v>
      </c>
      <c r="V7">
        <v>37</v>
      </c>
      <c r="W7">
        <v>1</v>
      </c>
      <c r="X7">
        <v>1</v>
      </c>
      <c r="Y7">
        <v>8025</v>
      </c>
      <c r="Z7">
        <v>1</v>
      </c>
      <c r="AA7">
        <v>0</v>
      </c>
      <c r="AB7">
        <v>0</v>
      </c>
      <c r="AC7">
        <v>63</v>
      </c>
      <c r="AD7" t="s">
        <v>123</v>
      </c>
      <c r="AE7">
        <v>2148165</v>
      </c>
      <c r="AF7">
        <v>0.33900000000000002</v>
      </c>
      <c r="AG7">
        <v>1.014</v>
      </c>
      <c r="AH7">
        <v>0</v>
      </c>
      <c r="AI7">
        <v>4506.21</v>
      </c>
      <c r="AJ7">
        <v>56.23</v>
      </c>
      <c r="AK7">
        <v>7574</v>
      </c>
      <c r="AL7">
        <v>128325</v>
      </c>
    </row>
    <row r="8" spans="1:38" x14ac:dyDescent="0.3">
      <c r="A8" s="1">
        <v>6</v>
      </c>
      <c r="B8" t="s">
        <v>43</v>
      </c>
      <c r="C8">
        <v>5</v>
      </c>
      <c r="D8">
        <v>5</v>
      </c>
      <c r="E8">
        <v>5</v>
      </c>
      <c r="F8">
        <v>5</v>
      </c>
      <c r="G8">
        <v>4</v>
      </c>
      <c r="H8">
        <v>1</v>
      </c>
      <c r="I8">
        <v>210816</v>
      </c>
      <c r="J8">
        <v>210816</v>
      </c>
      <c r="K8">
        <v>210816</v>
      </c>
      <c r="L8">
        <v>210816</v>
      </c>
      <c r="M8">
        <v>193387</v>
      </c>
      <c r="N8">
        <v>88767</v>
      </c>
      <c r="O8">
        <v>5</v>
      </c>
      <c r="P8">
        <v>88767</v>
      </c>
      <c r="Q8">
        <v>210816</v>
      </c>
      <c r="R8">
        <v>39833081</v>
      </c>
      <c r="S8">
        <v>41450</v>
      </c>
      <c r="T8">
        <v>32966</v>
      </c>
      <c r="U8">
        <v>2</v>
      </c>
      <c r="V8">
        <v>3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 t="s">
        <v>124</v>
      </c>
      <c r="AE8">
        <v>208714</v>
      </c>
      <c r="AF8">
        <v>5.0000000000000001E-3</v>
      </c>
      <c r="AG8">
        <v>1</v>
      </c>
      <c r="AH8">
        <v>0</v>
      </c>
      <c r="AI8">
        <v>4471.93</v>
      </c>
      <c r="AJ8">
        <v>0</v>
      </c>
      <c r="AK8">
        <v>764</v>
      </c>
      <c r="AL8">
        <v>2102</v>
      </c>
    </row>
    <row r="9" spans="1:38" x14ac:dyDescent="0.3">
      <c r="A9" s="1">
        <v>7</v>
      </c>
      <c r="B9" t="s">
        <v>45</v>
      </c>
      <c r="C9">
        <v>133</v>
      </c>
      <c r="D9">
        <v>133</v>
      </c>
      <c r="E9">
        <v>108</v>
      </c>
      <c r="F9">
        <v>85</v>
      </c>
      <c r="G9">
        <v>53</v>
      </c>
      <c r="H9">
        <v>27</v>
      </c>
      <c r="I9">
        <v>4065716</v>
      </c>
      <c r="J9">
        <v>4065716</v>
      </c>
      <c r="K9">
        <v>3984726</v>
      </c>
      <c r="L9">
        <v>3808851</v>
      </c>
      <c r="M9">
        <v>3257966</v>
      </c>
      <c r="N9">
        <v>2351780</v>
      </c>
      <c r="O9">
        <v>133</v>
      </c>
      <c r="P9">
        <v>247004</v>
      </c>
      <c r="Q9">
        <v>4065716</v>
      </c>
      <c r="R9">
        <v>39833081</v>
      </c>
      <c r="S9">
        <v>55091</v>
      </c>
      <c r="T9">
        <v>28908</v>
      </c>
      <c r="U9">
        <v>22</v>
      </c>
      <c r="V9">
        <v>46</v>
      </c>
      <c r="W9">
        <v>1</v>
      </c>
      <c r="X9">
        <v>1</v>
      </c>
      <c r="Y9">
        <v>3092</v>
      </c>
      <c r="Z9">
        <v>3</v>
      </c>
      <c r="AA9">
        <v>0</v>
      </c>
      <c r="AB9">
        <v>0</v>
      </c>
      <c r="AC9">
        <v>64</v>
      </c>
      <c r="AD9" t="s">
        <v>125</v>
      </c>
      <c r="AE9">
        <v>3930133</v>
      </c>
      <c r="AF9">
        <v>0.36099999999999999</v>
      </c>
      <c r="AG9">
        <v>1.03</v>
      </c>
      <c r="AH9">
        <v>0</v>
      </c>
      <c r="AI9">
        <v>4752.47</v>
      </c>
      <c r="AJ9">
        <v>49.35</v>
      </c>
      <c r="AK9">
        <v>6423</v>
      </c>
      <c r="AL9">
        <v>134964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AD5FB-96B7-4883-ABAA-8862CAEC2FDE}">
  <dimension ref="A1:AL9"/>
  <sheetViews>
    <sheetView workbookViewId="0">
      <selection activeCell="H15" sqref="H15"/>
    </sheetView>
  </sheetViews>
  <sheetFormatPr defaultRowHeight="14.4" x14ac:dyDescent="0.3"/>
  <sheetData>
    <row r="1" spans="1:38" x14ac:dyDescent="0.3"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</row>
    <row r="2" spans="1:38" x14ac:dyDescent="0.3">
      <c r="A2" s="1">
        <v>0</v>
      </c>
      <c r="B2" t="s">
        <v>33</v>
      </c>
      <c r="C2">
        <v>319</v>
      </c>
      <c r="D2">
        <v>319</v>
      </c>
      <c r="E2">
        <v>38</v>
      </c>
      <c r="F2">
        <v>17</v>
      </c>
      <c r="G2">
        <v>2</v>
      </c>
      <c r="H2">
        <v>0</v>
      </c>
      <c r="I2">
        <v>1082467</v>
      </c>
      <c r="J2">
        <v>1082467</v>
      </c>
      <c r="K2">
        <v>440750</v>
      </c>
      <c r="L2">
        <v>289650</v>
      </c>
      <c r="M2">
        <v>73081</v>
      </c>
      <c r="N2">
        <v>0</v>
      </c>
      <c r="O2">
        <v>319</v>
      </c>
      <c r="P2">
        <v>46527</v>
      </c>
      <c r="Q2">
        <v>1082467</v>
      </c>
      <c r="R2">
        <v>39833081</v>
      </c>
      <c r="S2">
        <v>3516</v>
      </c>
      <c r="T2">
        <v>2114</v>
      </c>
      <c r="U2">
        <v>62</v>
      </c>
      <c r="V2">
        <v>167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3</v>
      </c>
      <c r="AD2" t="s">
        <v>126</v>
      </c>
      <c r="AE2">
        <v>1030108</v>
      </c>
      <c r="AF2">
        <v>0.13300000000000001</v>
      </c>
      <c r="AG2">
        <v>0.999</v>
      </c>
      <c r="AH2">
        <v>0</v>
      </c>
      <c r="AI2">
        <v>1877.01</v>
      </c>
      <c r="AJ2">
        <v>13.19</v>
      </c>
      <c r="AK2">
        <v>10953</v>
      </c>
      <c r="AL2">
        <v>52521</v>
      </c>
    </row>
    <row r="3" spans="1:38" x14ac:dyDescent="0.3">
      <c r="A3" s="1">
        <v>1</v>
      </c>
      <c r="B3" t="s">
        <v>35</v>
      </c>
      <c r="C3">
        <v>122</v>
      </c>
      <c r="D3">
        <v>122</v>
      </c>
      <c r="E3">
        <v>91</v>
      </c>
      <c r="F3">
        <v>76</v>
      </c>
      <c r="G3">
        <v>52</v>
      </c>
      <c r="H3">
        <v>36</v>
      </c>
      <c r="I3">
        <v>6541670</v>
      </c>
      <c r="J3">
        <v>6541670</v>
      </c>
      <c r="K3">
        <v>6456444</v>
      </c>
      <c r="L3">
        <v>6344542</v>
      </c>
      <c r="M3">
        <v>5923053</v>
      </c>
      <c r="N3">
        <v>5352879</v>
      </c>
      <c r="O3">
        <v>122</v>
      </c>
      <c r="P3">
        <v>447068</v>
      </c>
      <c r="Q3">
        <v>6541670</v>
      </c>
      <c r="R3">
        <v>39833081</v>
      </c>
      <c r="S3">
        <v>161889</v>
      </c>
      <c r="T3">
        <v>59374</v>
      </c>
      <c r="U3">
        <v>12</v>
      </c>
      <c r="V3">
        <v>29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 t="s">
        <v>127</v>
      </c>
      <c r="AE3">
        <v>6541272</v>
      </c>
      <c r="AF3">
        <v>2E-3</v>
      </c>
      <c r="AG3">
        <v>1</v>
      </c>
      <c r="AH3">
        <v>0</v>
      </c>
      <c r="AI3">
        <v>3627.57</v>
      </c>
      <c r="AJ3">
        <v>0</v>
      </c>
      <c r="AK3">
        <v>101</v>
      </c>
      <c r="AL3">
        <v>398</v>
      </c>
    </row>
    <row r="4" spans="1:38" x14ac:dyDescent="0.3">
      <c r="A4" s="1">
        <v>2</v>
      </c>
      <c r="B4" t="s">
        <v>37</v>
      </c>
      <c r="C4">
        <v>55</v>
      </c>
      <c r="D4">
        <v>55</v>
      </c>
      <c r="E4">
        <v>53</v>
      </c>
      <c r="F4">
        <v>49</v>
      </c>
      <c r="G4">
        <v>44</v>
      </c>
      <c r="H4">
        <v>39</v>
      </c>
      <c r="I4">
        <v>7303966</v>
      </c>
      <c r="J4">
        <v>7303966</v>
      </c>
      <c r="K4">
        <v>7299374</v>
      </c>
      <c r="L4">
        <v>7275206</v>
      </c>
      <c r="M4">
        <v>7201559</v>
      </c>
      <c r="N4">
        <v>7029825</v>
      </c>
      <c r="O4">
        <v>55</v>
      </c>
      <c r="P4">
        <v>596942</v>
      </c>
      <c r="Q4">
        <v>7303966</v>
      </c>
      <c r="R4">
        <v>39833081</v>
      </c>
      <c r="S4">
        <v>206469</v>
      </c>
      <c r="T4">
        <v>122723</v>
      </c>
      <c r="U4">
        <v>10</v>
      </c>
      <c r="V4">
        <v>22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6</v>
      </c>
      <c r="AD4" t="s">
        <v>128</v>
      </c>
      <c r="AE4">
        <v>7292850</v>
      </c>
      <c r="AF4">
        <v>2.8000000000000001E-2</v>
      </c>
      <c r="AG4">
        <v>1</v>
      </c>
      <c r="AH4">
        <v>0</v>
      </c>
      <c r="AI4">
        <v>2797.77</v>
      </c>
      <c r="AJ4">
        <v>0</v>
      </c>
      <c r="AK4">
        <v>2677</v>
      </c>
      <c r="AL4">
        <v>11116</v>
      </c>
    </row>
    <row r="5" spans="1:38" x14ac:dyDescent="0.3">
      <c r="A5" s="1">
        <v>3</v>
      </c>
      <c r="B5" t="s">
        <v>39</v>
      </c>
      <c r="C5">
        <v>193</v>
      </c>
      <c r="D5">
        <v>193</v>
      </c>
      <c r="E5">
        <v>3</v>
      </c>
      <c r="F5">
        <v>1</v>
      </c>
      <c r="G5">
        <v>1</v>
      </c>
      <c r="H5">
        <v>0</v>
      </c>
      <c r="I5">
        <v>422435</v>
      </c>
      <c r="J5">
        <v>422435</v>
      </c>
      <c r="K5">
        <v>54414</v>
      </c>
      <c r="L5">
        <v>42587</v>
      </c>
      <c r="M5">
        <v>42587</v>
      </c>
      <c r="N5">
        <v>0</v>
      </c>
      <c r="O5">
        <v>193</v>
      </c>
      <c r="P5">
        <v>42587</v>
      </c>
      <c r="Q5">
        <v>422435</v>
      </c>
      <c r="R5">
        <v>39833081</v>
      </c>
      <c r="S5">
        <v>1938</v>
      </c>
      <c r="T5">
        <v>1695</v>
      </c>
      <c r="U5">
        <v>69</v>
      </c>
      <c r="V5">
        <v>127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 t="s">
        <v>129</v>
      </c>
      <c r="AE5">
        <v>419122</v>
      </c>
      <c r="AF5">
        <v>8.0000000000000002E-3</v>
      </c>
      <c r="AG5">
        <v>1.014</v>
      </c>
      <c r="AH5">
        <v>0</v>
      </c>
      <c r="AI5">
        <v>214.2</v>
      </c>
      <c r="AJ5">
        <v>0</v>
      </c>
      <c r="AK5">
        <v>1674</v>
      </c>
      <c r="AL5">
        <v>3268</v>
      </c>
    </row>
    <row r="6" spans="1:38" x14ac:dyDescent="0.3">
      <c r="A6" s="1">
        <v>4</v>
      </c>
      <c r="B6" t="s">
        <v>40</v>
      </c>
      <c r="C6">
        <v>34</v>
      </c>
      <c r="D6">
        <v>34</v>
      </c>
      <c r="E6">
        <v>31</v>
      </c>
      <c r="F6">
        <v>28</v>
      </c>
      <c r="G6">
        <v>23</v>
      </c>
      <c r="H6">
        <v>17</v>
      </c>
      <c r="I6">
        <v>2105749</v>
      </c>
      <c r="J6">
        <v>2105749</v>
      </c>
      <c r="K6">
        <v>2093820</v>
      </c>
      <c r="L6">
        <v>2074869</v>
      </c>
      <c r="M6">
        <v>1992719</v>
      </c>
      <c r="N6">
        <v>1777845</v>
      </c>
      <c r="O6">
        <v>34</v>
      </c>
      <c r="P6">
        <v>208294</v>
      </c>
      <c r="Q6">
        <v>2105749</v>
      </c>
      <c r="R6">
        <v>39833081</v>
      </c>
      <c r="S6">
        <v>104890</v>
      </c>
      <c r="T6">
        <v>62312</v>
      </c>
      <c r="U6">
        <v>8</v>
      </c>
      <c r="V6">
        <v>14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8</v>
      </c>
      <c r="AD6" t="s">
        <v>130</v>
      </c>
      <c r="AE6">
        <v>2073506</v>
      </c>
      <c r="AF6">
        <v>0.107</v>
      </c>
      <c r="AG6">
        <v>1.0189999999999999</v>
      </c>
      <c r="AH6">
        <v>0</v>
      </c>
      <c r="AI6">
        <v>6096.05</v>
      </c>
      <c r="AJ6">
        <v>30.41</v>
      </c>
      <c r="AK6">
        <v>4208</v>
      </c>
      <c r="AL6">
        <v>32243</v>
      </c>
    </row>
    <row r="7" spans="1:38" x14ac:dyDescent="0.3">
      <c r="A7" s="1">
        <v>5</v>
      </c>
      <c r="B7" t="s">
        <v>42</v>
      </c>
      <c r="C7">
        <v>93</v>
      </c>
      <c r="D7">
        <v>93</v>
      </c>
      <c r="E7">
        <v>71</v>
      </c>
      <c r="F7">
        <v>55</v>
      </c>
      <c r="G7">
        <v>46</v>
      </c>
      <c r="H7">
        <v>27</v>
      </c>
      <c r="I7">
        <v>4407193</v>
      </c>
      <c r="J7">
        <v>4407193</v>
      </c>
      <c r="K7">
        <v>4339873</v>
      </c>
      <c r="L7">
        <v>4230615</v>
      </c>
      <c r="M7">
        <v>4067541</v>
      </c>
      <c r="N7">
        <v>3345696</v>
      </c>
      <c r="O7">
        <v>93</v>
      </c>
      <c r="P7">
        <v>331551</v>
      </c>
      <c r="Q7">
        <v>4407193</v>
      </c>
      <c r="R7">
        <v>39833081</v>
      </c>
      <c r="S7">
        <v>116395</v>
      </c>
      <c r="T7">
        <v>54497</v>
      </c>
      <c r="U7">
        <v>13</v>
      </c>
      <c r="V7">
        <v>27</v>
      </c>
      <c r="W7">
        <v>2</v>
      </c>
      <c r="X7">
        <v>2</v>
      </c>
      <c r="Y7">
        <v>81816</v>
      </c>
      <c r="Z7">
        <v>1</v>
      </c>
      <c r="AA7">
        <v>0</v>
      </c>
      <c r="AB7">
        <v>0</v>
      </c>
      <c r="AC7">
        <v>51</v>
      </c>
      <c r="AD7" t="s">
        <v>131</v>
      </c>
      <c r="AE7">
        <v>4151855</v>
      </c>
      <c r="AF7">
        <v>0.90300000000000002</v>
      </c>
      <c r="AG7">
        <v>1.0169999999999999</v>
      </c>
      <c r="AH7">
        <v>0</v>
      </c>
      <c r="AI7">
        <v>5630.19</v>
      </c>
      <c r="AJ7">
        <v>52.56</v>
      </c>
      <c r="AK7">
        <v>37796</v>
      </c>
      <c r="AL7">
        <v>255338</v>
      </c>
    </row>
    <row r="8" spans="1:38" x14ac:dyDescent="0.3">
      <c r="A8" s="1">
        <v>6</v>
      </c>
      <c r="B8" t="s">
        <v>43</v>
      </c>
      <c r="C8">
        <v>366</v>
      </c>
      <c r="D8">
        <v>366</v>
      </c>
      <c r="E8">
        <v>226</v>
      </c>
      <c r="F8">
        <v>147</v>
      </c>
      <c r="G8">
        <v>59</v>
      </c>
      <c r="H8">
        <v>16</v>
      </c>
      <c r="I8">
        <v>5220789</v>
      </c>
      <c r="J8">
        <v>5220789</v>
      </c>
      <c r="K8">
        <v>4805330</v>
      </c>
      <c r="L8">
        <v>4226768</v>
      </c>
      <c r="M8">
        <v>2796118</v>
      </c>
      <c r="N8">
        <v>1347629</v>
      </c>
      <c r="O8">
        <v>366</v>
      </c>
      <c r="P8">
        <v>127677</v>
      </c>
      <c r="Q8">
        <v>5220789</v>
      </c>
      <c r="R8">
        <v>39833081</v>
      </c>
      <c r="S8">
        <v>26624</v>
      </c>
      <c r="T8">
        <v>13165</v>
      </c>
      <c r="U8">
        <v>52</v>
      </c>
      <c r="V8">
        <v>121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41</v>
      </c>
      <c r="AD8" t="s">
        <v>132</v>
      </c>
      <c r="AE8">
        <v>5148403</v>
      </c>
      <c r="AF8">
        <v>0.189</v>
      </c>
      <c r="AG8">
        <v>1.0009999999999999</v>
      </c>
      <c r="AH8">
        <v>0</v>
      </c>
      <c r="AI8">
        <v>4091.02</v>
      </c>
      <c r="AJ8">
        <v>25.27</v>
      </c>
      <c r="AK8">
        <v>2542</v>
      </c>
      <c r="AL8">
        <v>72472</v>
      </c>
    </row>
    <row r="9" spans="1:38" x14ac:dyDescent="0.3">
      <c r="A9" s="1">
        <v>7</v>
      </c>
      <c r="B9" t="s">
        <v>45</v>
      </c>
      <c r="C9">
        <v>130</v>
      </c>
      <c r="D9">
        <v>130</v>
      </c>
      <c r="E9">
        <v>125</v>
      </c>
      <c r="F9">
        <v>111</v>
      </c>
      <c r="G9">
        <v>79</v>
      </c>
      <c r="H9">
        <v>46</v>
      </c>
      <c r="I9">
        <v>6705271</v>
      </c>
      <c r="J9">
        <v>6705271</v>
      </c>
      <c r="K9">
        <v>6688808</v>
      </c>
      <c r="L9">
        <v>6581810</v>
      </c>
      <c r="M9">
        <v>6043467</v>
      </c>
      <c r="N9">
        <v>4858172</v>
      </c>
      <c r="O9">
        <v>130</v>
      </c>
      <c r="P9">
        <v>271761</v>
      </c>
      <c r="Q9">
        <v>6705271</v>
      </c>
      <c r="R9">
        <v>39833081</v>
      </c>
      <c r="S9">
        <v>87317</v>
      </c>
      <c r="T9">
        <v>46978</v>
      </c>
      <c r="U9">
        <v>23</v>
      </c>
      <c r="V9">
        <v>50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 t="s">
        <v>133</v>
      </c>
      <c r="AE9">
        <v>6702884</v>
      </c>
      <c r="AF9">
        <v>6.0000000000000001E-3</v>
      </c>
      <c r="AG9">
        <v>1</v>
      </c>
      <c r="AH9">
        <v>0</v>
      </c>
      <c r="AI9">
        <v>3519.06</v>
      </c>
      <c r="AJ9">
        <v>0</v>
      </c>
      <c r="AK9">
        <v>197</v>
      </c>
      <c r="AL9">
        <v>2387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Combined info</vt:lpstr>
      <vt:lpstr>CheckM MAGs</vt:lpstr>
      <vt:lpstr>Phylogeny MAGs</vt:lpstr>
      <vt:lpstr>CheckM genomes</vt:lpstr>
      <vt:lpstr>Phylogeny genomes</vt:lpstr>
      <vt:lpstr>Mapping</vt:lpstr>
      <vt:lpstr>Relative abundances MGX</vt:lpstr>
      <vt:lpstr>Relative abundances MGX all</vt:lpstr>
      <vt:lpstr>Quast MEGAHIT</vt:lpstr>
      <vt:lpstr>Quast metaSPAdes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 Dolinsek</dc:creator>
  <cp:keywords/>
  <dc:description/>
  <cp:lastModifiedBy>Jan Dolinsek</cp:lastModifiedBy>
  <cp:revision/>
  <dcterms:created xsi:type="dcterms:W3CDTF">2015-06-05T18:19:34Z</dcterms:created>
  <dcterms:modified xsi:type="dcterms:W3CDTF">2026-07-11T19:43:38Z</dcterms:modified>
  <cp:category/>
  <cp:contentStatus/>
</cp:coreProperties>
</file>